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EZAS" sheetId="2" state="visible" r:id="rId2"/>
    <sheet name="HARDWARE" sheetId="3" state="visible" r:id="rId3"/>
    <sheet name="DISEÑO" sheetId="4" state="visible" r:id="rId4"/>
    <sheet name="INSTRUCCIONES" sheetId="5" state="visible" r:id="rId5"/>
    <sheet name="MEDI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  <i val="1"/>
      <color rgb="007F7F7F"/>
    </font>
    <font>
      <name val="Arial"/>
      <b val="1"/>
    </font>
    <font>
      <name val="Arial"/>
      <b val="1"/>
      <sz val="14"/>
    </font>
    <font>
      <name val="Arial"/>
      <b val="1"/>
      <color rgb="FF000000"/>
      <sz val="14"/>
    </font>
    <font>
      <name val="Arial"/>
      <color rgb="FF000000"/>
      <sz val="11"/>
    </font>
    <font>
      <name val="Arial"/>
      <b val="1"/>
      <color rgb="FF000000"/>
      <sz val="10"/>
    </font>
    <font>
      <name val="Arial"/>
      <b val="1"/>
      <color rgb="FF000000"/>
      <sz val="12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8" fillId="4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9" fillId="3" borderId="1" pivotButton="0" quotePrefix="0" xfId="0"/>
    <xf numFmtId="0" fontId="8" fillId="0" borderId="4" pivotButton="0" quotePrefix="0" xfId="0"/>
    <xf numFmtId="0" fontId="8" fillId="0" borderId="5" pivotButton="0" quotePrefix="0" xfId="0"/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27" customWidth="1" min="3" max="3"/>
    <col width="20" customWidth="1" min="4" max="4"/>
    <col width="19" customWidth="1" min="5" max="5"/>
    <col width="10" customWidth="1" min="6" max="6"/>
  </cols>
  <sheetData>
    <row r="1">
      <c r="A1" s="10" t="inlineStr">
        <is>
          <t>LanternGuard, prototipo simple Ø200 (nodo V2 + boya): masa impresa, horas y costo</t>
        </is>
      </c>
      <c r="B1" s="11" t="n"/>
      <c r="C1" s="11" t="n"/>
      <c r="D1" s="11" t="n"/>
      <c r="E1" s="11" t="n"/>
      <c r="F1" s="11" t="n"/>
    </row>
    <row r="2">
      <c r="A2" s="11" t="inlineStr">
        <is>
          <t>Parametros (amarillo = entrada; vienen de params.py)</t>
        </is>
      </c>
      <c r="B2" s="11" t="n"/>
      <c r="C2" s="11" t="inlineStr">
        <is>
          <t>nombre en params.py</t>
        </is>
      </c>
      <c r="D2" s="11" t="n"/>
      <c r="E2" s="11" t="n"/>
      <c r="F2" s="11" t="n"/>
    </row>
    <row r="3">
      <c r="A3" s="11" t="inlineStr">
        <is>
          <t>Densidad del PETG g/cm³ (estimado)</t>
        </is>
      </c>
      <c r="B3" s="12" t="n">
        <v>1.27</v>
      </c>
      <c r="C3" s="11" t="inlineStr">
        <is>
          <t>petg.densidad</t>
        </is>
      </c>
      <c r="D3" s="11" t="n"/>
      <c r="E3" s="11" t="n"/>
      <c r="F3" s="11" t="n"/>
    </row>
    <row r="4">
      <c r="A4" s="11" t="inlineStr">
        <is>
          <t>Impresora g/h (estimado)</t>
        </is>
      </c>
      <c r="B4" s="12" t="n">
        <v>15</v>
      </c>
      <c r="C4" s="11" t="inlineStr">
        <is>
          <t>costo.g_por_h</t>
        </is>
      </c>
      <c r="D4" s="11" t="n"/>
      <c r="E4" s="11" t="n"/>
      <c r="F4" s="11" t="n"/>
    </row>
    <row r="5">
      <c r="A5" s="11" t="inlineStr">
        <is>
          <t>Filamento soles/kg (estimado)</t>
        </is>
      </c>
      <c r="B5" s="12" t="n">
        <v>90</v>
      </c>
      <c r="C5" s="11" t="inlineStr">
        <is>
          <t>costo.filamento_soles_kg</t>
        </is>
      </c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3" t="inlineStr">
        <is>
          <t>grupo</t>
        </is>
      </c>
      <c r="B9" s="13" t="inlineStr">
        <is>
          <t>masa impresa g (estimado o slicer)</t>
        </is>
      </c>
      <c r="C9" s="13" t="inlineStr">
        <is>
          <t>horas (estimado o slicer)</t>
        </is>
      </c>
      <c r="D9" s="13" t="inlineStr">
        <is>
          <t>costo filamento S/</t>
        </is>
      </c>
      <c r="E9" s="13" t="inlineStr">
        <is>
          <t>costo hardware S/</t>
        </is>
      </c>
      <c r="F9" s="13" t="inlineStr">
        <is>
          <t>total S/</t>
        </is>
      </c>
    </row>
    <row r="10">
      <c r="A10" s="11" t="inlineStr">
        <is>
          <t>nodo simple</t>
        </is>
      </c>
      <c r="B10" s="11">
        <f>SUMIF(PIEZAS!$B:$B,$A10,PIEZAS!$N:$N)</f>
        <v/>
      </c>
      <c r="C10" s="11">
        <f>SUMIF(PIEZAS!$B:$B,$A10,PIEZAS!$P:$P)</f>
        <v/>
      </c>
      <c r="D10" s="11">
        <f>SUMIF(PIEZAS!$B:$B,$A10,PIEZAS!$Q:$Q)</f>
        <v/>
      </c>
      <c r="E10" s="11">
        <f>SUMIF(HARDWARE!$A:$A,$A10,HARDWARE!$F:$F)</f>
        <v/>
      </c>
      <c r="F10" s="11">
        <f>D10+E10</f>
        <v/>
      </c>
    </row>
    <row r="11">
      <c r="A11" s="11" t="inlineStr">
        <is>
          <t>linterna de prueba</t>
        </is>
      </c>
      <c r="B11" s="11">
        <f>SUMIF(PIEZAS!$B:$B,$A11,PIEZAS!$N:$N)</f>
        <v/>
      </c>
      <c r="C11" s="11">
        <f>SUMIF(PIEZAS!$B:$B,$A11,PIEZAS!$P:$P)</f>
        <v/>
      </c>
      <c r="D11" s="11">
        <f>SUMIF(PIEZAS!$B:$B,$A11,PIEZAS!$Q:$Q)</f>
        <v/>
      </c>
      <c r="E11" s="11">
        <f>SUMIF(HARDWARE!$A:$A,$A11,HARDWARE!$F:$F)</f>
        <v/>
      </c>
      <c r="F11" s="11">
        <f>D11+E11</f>
        <v/>
      </c>
    </row>
    <row r="12">
      <c r="A12" s="11" t="inlineStr">
        <is>
          <t>boya simple</t>
        </is>
      </c>
      <c r="B12" s="11">
        <f>SUMIF(PIEZAS!$B:$B,$A12,PIEZAS!$N:$N)</f>
        <v/>
      </c>
      <c r="C12" s="11">
        <f>SUMIF(PIEZAS!$B:$B,$A12,PIEZAS!$P:$P)</f>
        <v/>
      </c>
      <c r="D12" s="11">
        <f>SUMIF(PIEZAS!$B:$B,$A12,PIEZAS!$Q:$Q)</f>
        <v/>
      </c>
      <c r="E12" s="11">
        <f>SUMIF(HARDWARE!$A:$A,$A12,HARDWARE!$F:$F)</f>
        <v/>
      </c>
      <c r="F12" s="11">
        <f>D12+E12</f>
        <v/>
      </c>
    </row>
    <row r="13">
      <c r="A13" s="11" t="inlineStr">
        <is>
          <t>modular D200</t>
        </is>
      </c>
      <c r="B13" s="11">
        <f>SUMIF(PIEZAS!$B:$B,$A13,PIEZAS!$N:$N)</f>
        <v/>
      </c>
      <c r="C13" s="11">
        <f>SUMIF(PIEZAS!$B:$B,$A13,PIEZAS!$P:$P)</f>
        <v/>
      </c>
      <c r="D13" s="11">
        <f>SUMIF(PIEZAS!$B:$B,$A13,PIEZAS!$Q:$Q)</f>
        <v/>
      </c>
      <c r="E13" s="11">
        <f>SUMIF(HARDWARE!$A:$A,$A13,HARDWARE!$F:$F)</f>
        <v/>
      </c>
      <c r="F13" s="11">
        <f>D13+E13</f>
        <v/>
      </c>
    </row>
    <row r="14">
      <c r="A14" s="13" t="inlineStr">
        <is>
          <t>nodo simple + linterna + boya</t>
        </is>
      </c>
      <c r="B14" s="11">
        <f>SUM(B10:B12)</f>
        <v/>
      </c>
      <c r="C14" s="11">
        <f>SUM(C10:C12)</f>
        <v/>
      </c>
      <c r="D14" s="11">
        <f>SUM(D10:D12)</f>
        <v/>
      </c>
      <c r="E14" s="11">
        <f>SUM(E10:E12)</f>
        <v/>
      </c>
      <c r="F14" s="11">
        <f>SUM(F10:F12)</f>
        <v/>
      </c>
    </row>
    <row r="15">
      <c r="A15" s="11" t="n"/>
      <c r="B15" s="11" t="n"/>
      <c r="C15" s="11" t="n"/>
      <c r="D15" s="11" t="n"/>
      <c r="E15" s="11" t="n"/>
      <c r="F15" s="11" t="n"/>
    </row>
    <row r="16">
      <c r="A16" s="14" t="inlineStr">
        <is>
          <t>Masa por pieza = la misma del calculo de flotacion (piel + relleno de cada pieza). Llenar los precios amarillos de HARDWARE para el costo total. La fila modular D200 es para comparar.</t>
        </is>
      </c>
      <c r="B16" s="11" t="n"/>
      <c r="C16" s="11" t="n"/>
      <c r="D16" s="11" t="n"/>
      <c r="E16" s="11" t="n"/>
      <c r="F1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1" customWidth="1" min="3" max="3"/>
    <col width="10" customWidth="1" min="4" max="4"/>
    <col width="33" customWidth="1" min="5" max="5"/>
    <col width="10" customWidth="1" min="6" max="6"/>
    <col width="10" customWidth="1" min="7" max="7"/>
    <col width="31" customWidth="1" min="8" max="8"/>
    <col width="13" customWidth="1" min="9" max="9"/>
    <col width="10" customWidth="1" min="10" max="10"/>
    <col width="25" customWidth="1" min="11" max="11"/>
    <col width="34" customWidth="1" min="12" max="12"/>
    <col width="38" customWidth="1" min="13" max="13"/>
    <col width="14" customWidth="1" min="14" max="14"/>
    <col width="37" customWidth="1" min="15" max="15"/>
    <col width="13" customWidth="1" min="16" max="16"/>
    <col width="10" customWidth="1" min="17" max="17"/>
    <col width="21" customWidth="1" min="18" max="18"/>
  </cols>
  <sheetData>
    <row r="1">
      <c r="A1" s="13" t="inlineStr">
        <is>
          <t>pieza</t>
        </is>
      </c>
      <c r="B1" s="13" t="inlineStr">
        <is>
          <t>grupo</t>
        </is>
      </c>
      <c r="C1" s="13" t="inlineStr">
        <is>
          <t>descripcion</t>
        </is>
      </c>
      <c r="D1" s="13" t="inlineStr">
        <is>
          <t>cantidad</t>
        </is>
      </c>
      <c r="E1" s="13" t="inlineStr">
        <is>
          <t>X mm (orientacion de impresion)</t>
        </is>
      </c>
      <c r="F1" s="13" t="inlineStr">
        <is>
          <t>Y mm</t>
        </is>
      </c>
      <c r="G1" s="13" t="inlineStr">
        <is>
          <t>Z mm</t>
        </is>
      </c>
      <c r="H1" s="13" t="inlineStr">
        <is>
          <t>volumen solido cm³ (CadQuery)</t>
        </is>
      </c>
      <c r="I1" s="13" t="inlineStr">
        <is>
          <t>orientacion</t>
        </is>
      </c>
      <c r="J1" s="13" t="inlineStr">
        <is>
          <t>soportes</t>
        </is>
      </c>
      <c r="K1" s="13" t="inlineStr">
        <is>
          <t>relleno_%</t>
        </is>
      </c>
      <c r="L1" s="13" t="inlineStr">
        <is>
          <t>fraccion maciza (piel + relleno)</t>
        </is>
      </c>
      <c r="M1" s="13" t="inlineStr">
        <is>
          <t>masa por pieza g (estimado o slicer)</t>
        </is>
      </c>
      <c r="N1" s="13" t="inlineStr">
        <is>
          <t>masa total g</t>
        </is>
      </c>
      <c r="O1" s="13" t="inlineStr">
        <is>
          <t>horas por pieza (estimado o slicer)</t>
        </is>
      </c>
      <c r="P1" s="13" t="inlineStr">
        <is>
          <t>horas total</t>
        </is>
      </c>
      <c r="Q1" s="13" t="inlineStr">
        <is>
          <t>costo S/</t>
        </is>
      </c>
      <c r="R1" s="13" t="inlineStr">
        <is>
          <t>fuente masa y horas</t>
        </is>
      </c>
    </row>
    <row r="2">
      <c r="A2" s="11" t="inlineStr">
        <is>
          <t>M1s_caja_cuerpo</t>
        </is>
      </c>
      <c r="B2" s="11" t="inlineStr">
        <is>
          <t>nodo simple</t>
        </is>
      </c>
      <c r="C2" s="11" t="inlineStr">
        <is>
          <t>M1 caja baja con bolsillos</t>
        </is>
      </c>
      <c r="D2" s="11" t="n">
        <v>1</v>
      </c>
      <c r="E2" s="11" t="n">
        <v>147</v>
      </c>
      <c r="F2" s="11" t="n">
        <v>146</v>
      </c>
      <c r="G2" s="11" t="n">
        <v>102.5</v>
      </c>
      <c r="H2" s="11" t="n">
        <v>349.39</v>
      </c>
      <c r="I2" s="11" t="inlineStr">
        <is>
          <t>X180</t>
        </is>
      </c>
      <c r="J2" s="11" t="inlineStr">
        <is>
          <t>si</t>
        </is>
      </c>
      <c r="K2" s="11" t="inlineStr">
        <is>
          <t>100 %</t>
        </is>
      </c>
      <c r="L2" s="11" t="n">
        <v>1</v>
      </c>
      <c r="M2" s="11">
        <f>H2*RESUMEN!$B$3*L2</f>
        <v/>
      </c>
      <c r="N2" s="11">
        <f>M2*D2</f>
        <v/>
      </c>
      <c r="O2" s="11">
        <f>M2/RESUMEN!$B$4</f>
        <v/>
      </c>
      <c r="P2" s="11">
        <f>O2*D2</f>
        <v/>
      </c>
      <c r="Q2" s="11">
        <f>N2/1000*RESUMEN!$B$5</f>
        <v/>
      </c>
      <c r="R2" s="11" t="inlineStr">
        <is>
          <t>estimado</t>
        </is>
      </c>
    </row>
    <row r="3">
      <c r="A3" s="11" t="inlineStr">
        <is>
          <t>M2_caja_tapa</t>
        </is>
      </c>
      <c r="B3" s="11" t="inlineStr">
        <is>
          <t>nodo simple</t>
        </is>
      </c>
      <c r="C3" s="11" t="inlineStr">
        <is>
          <t>M2 caja, tapa con asa</t>
        </is>
      </c>
      <c r="D3" s="11" t="n">
        <v>1</v>
      </c>
      <c r="E3" s="11" t="n">
        <v>63</v>
      </c>
      <c r="F3" s="11" t="n">
        <v>146</v>
      </c>
      <c r="G3" s="11" t="n">
        <v>147</v>
      </c>
      <c r="H3" s="11" t="n">
        <v>136</v>
      </c>
      <c r="I3" s="11" t="inlineStr">
        <is>
          <t>Y+90</t>
        </is>
      </c>
      <c r="J3" s="11" t="inlineStr">
        <is>
          <t>si</t>
        </is>
      </c>
      <c r="K3" s="11" t="inlineStr">
        <is>
          <t>100 %</t>
        </is>
      </c>
      <c r="L3" s="11" t="n">
        <v>1</v>
      </c>
      <c r="M3" s="11">
        <f>H3*RESUMEN!$B$3*L3</f>
        <v/>
      </c>
      <c r="N3" s="11">
        <f>M3*D3</f>
        <v/>
      </c>
      <c r="O3" s="11">
        <f>M3/RESUMEN!$B$4</f>
        <v/>
      </c>
      <c r="P3" s="11">
        <f>O3*D3</f>
        <v/>
      </c>
      <c r="Q3" s="11">
        <f>N3/1000*RESUMEN!$B$5</f>
        <v/>
      </c>
      <c r="R3" s="11" t="inlineStr">
        <is>
          <t>estimado</t>
        </is>
      </c>
    </row>
    <row r="4">
      <c r="A4" s="11" t="inlineStr">
        <is>
          <t>M3s_riel_gancho</t>
        </is>
      </c>
      <c r="B4" s="11" t="inlineStr">
        <is>
          <t>nodo simple</t>
        </is>
      </c>
      <c r="C4" s="11" t="inlineStr">
        <is>
          <t>M3s riel con gancho, mitad</t>
        </is>
      </c>
      <c r="D4" s="11" t="n">
        <v>2</v>
      </c>
      <c r="E4" s="11" t="n">
        <v>141.5</v>
      </c>
      <c r="F4" s="11" t="n">
        <v>77.2</v>
      </c>
      <c r="G4" s="11" t="n">
        <v>50</v>
      </c>
      <c r="H4" s="11" t="n">
        <v>85.28</v>
      </c>
      <c r="I4" s="11" t="inlineStr">
        <is>
          <t>X+90</t>
        </is>
      </c>
      <c r="J4" s="11" t="inlineStr">
        <is>
          <t>si</t>
        </is>
      </c>
      <c r="K4" s="11" t="inlineStr">
        <is>
          <t>riel 40 %, gancho 100 %</t>
        </is>
      </c>
      <c r="L4" s="11" t="n">
        <v>0.824</v>
      </c>
      <c r="M4" s="11">
        <f>H4*RESUMEN!$B$3*L4</f>
        <v/>
      </c>
      <c r="N4" s="11">
        <f>M4*D4</f>
        <v/>
      </c>
      <c r="O4" s="11">
        <f>M4/RESUMEN!$B$4</f>
        <v/>
      </c>
      <c r="P4" s="11">
        <f>O4*D4</f>
        <v/>
      </c>
      <c r="Q4" s="11">
        <f>N4/1000*RESUMEN!$B$5</f>
        <v/>
      </c>
      <c r="R4" s="11" t="inlineStr">
        <is>
          <t>estimado</t>
        </is>
      </c>
    </row>
    <row r="5">
      <c r="A5" s="11" t="inlineStr">
        <is>
          <t>M3t_tapa_bolsillo</t>
        </is>
      </c>
      <c r="B5" s="11" t="inlineStr">
        <is>
          <t>nodo simple</t>
        </is>
      </c>
      <c r="C5" s="11" t="inlineStr">
        <is>
          <t>M3t tapa del bolsillo</t>
        </is>
      </c>
      <c r="D5" s="11" t="n">
        <v>2</v>
      </c>
      <c r="E5" s="11" t="n">
        <v>117</v>
      </c>
      <c r="F5" s="11" t="n">
        <v>32</v>
      </c>
      <c r="G5" s="11" t="n">
        <v>3</v>
      </c>
      <c r="H5" s="11" t="n">
        <v>11.14</v>
      </c>
      <c r="I5" s="11" t="inlineStr">
        <is>
          <t>X180</t>
        </is>
      </c>
      <c r="J5" s="11" t="inlineStr">
        <is>
          <t>no</t>
        </is>
      </c>
      <c r="K5" s="11" t="inlineStr">
        <is>
          <t>100 %</t>
        </is>
      </c>
      <c r="L5" s="11" t="n">
        <v>1</v>
      </c>
      <c r="M5" s="11">
        <f>H5*RESUMEN!$B$3*L5</f>
        <v/>
      </c>
      <c r="N5" s="11">
        <f>M5*D5</f>
        <v/>
      </c>
      <c r="O5" s="11">
        <f>M5/RESUMEN!$B$4</f>
        <v/>
      </c>
      <c r="P5" s="11">
        <f>O5*D5</f>
        <v/>
      </c>
      <c r="Q5" s="11">
        <f>N5/1000*RESUMEN!$B$5</f>
        <v/>
      </c>
      <c r="R5" s="11" t="inlineStr">
        <is>
          <t>estimado</t>
        </is>
      </c>
    </row>
    <row r="6">
      <c r="A6" s="11" t="inlineStr">
        <is>
          <t>M5s_capsula_tapa_pie</t>
        </is>
      </c>
      <c r="B6" s="11" t="inlineStr">
        <is>
          <t>nodo simple</t>
        </is>
      </c>
      <c r="C6" s="11" t="inlineStr">
        <is>
          <t>M5s tapa con pie</t>
        </is>
      </c>
      <c r="D6" s="11" t="n">
        <v>2</v>
      </c>
      <c r="E6" s="11" t="n">
        <v>59.2</v>
      </c>
      <c r="F6" s="11" t="n">
        <v>64</v>
      </c>
      <c r="G6" s="11" t="n">
        <v>95.90000000000001</v>
      </c>
      <c r="H6" s="11" t="n">
        <v>76.04000000000001</v>
      </c>
      <c r="I6" s="11" t="inlineStr">
        <is>
          <t>sin girar</t>
        </is>
      </c>
      <c r="J6" s="11" t="inlineStr">
        <is>
          <t>si</t>
        </is>
      </c>
      <c r="K6" s="11" t="inlineStr">
        <is>
          <t>100 %</t>
        </is>
      </c>
      <c r="L6" s="11" t="n">
        <v>1</v>
      </c>
      <c r="M6" s="11">
        <f>H6*RESUMEN!$B$3*L6</f>
        <v/>
      </c>
      <c r="N6" s="11">
        <f>M6*D6</f>
        <v/>
      </c>
      <c r="O6" s="11">
        <f>M6/RESUMEN!$B$4</f>
        <v/>
      </c>
      <c r="P6" s="11">
        <f>O6*D6</f>
        <v/>
      </c>
      <c r="Q6" s="11">
        <f>N6/1000*RESUMEN!$B$5</f>
        <v/>
      </c>
      <c r="R6" s="11" t="inlineStr">
        <is>
          <t>estimado</t>
        </is>
      </c>
    </row>
    <row r="7">
      <c r="A7" s="11" t="inlineStr">
        <is>
          <t>M11_bandeja</t>
        </is>
      </c>
      <c r="B7" s="11" t="inlineStr">
        <is>
          <t>nodo simple</t>
        </is>
      </c>
      <c r="C7" s="11" t="inlineStr">
        <is>
          <t>M11 bandeja (M11_bandeja)</t>
        </is>
      </c>
      <c r="D7" s="11" t="n">
        <v>1</v>
      </c>
      <c r="E7" s="11" t="n">
        <v>115</v>
      </c>
      <c r="F7" s="11" t="n">
        <v>114</v>
      </c>
      <c r="G7" s="11" t="n">
        <v>30</v>
      </c>
      <c r="H7" s="11" t="n">
        <v>39.91</v>
      </c>
      <c r="I7" s="11" t="inlineStr">
        <is>
          <t>sin girar</t>
        </is>
      </c>
      <c r="J7" s="11" t="inlineStr">
        <is>
          <t>no</t>
        </is>
      </c>
      <c r="K7" s="11" t="inlineStr">
        <is>
          <t>40 %</t>
        </is>
      </c>
      <c r="L7" s="11" t="n">
        <v>0.909</v>
      </c>
      <c r="M7" s="11">
        <f>H7*RESUMEN!$B$3*L7</f>
        <v/>
      </c>
      <c r="N7" s="11">
        <f>M7*D7</f>
        <v/>
      </c>
      <c r="O7" s="11">
        <f>M7/RESUMEN!$B$4</f>
        <v/>
      </c>
      <c r="P7" s="11">
        <f>O7*D7</f>
        <v/>
      </c>
      <c r="Q7" s="11">
        <f>N7/1000*RESUMEN!$B$5</f>
        <v/>
      </c>
      <c r="R7" s="11" t="inlineStr">
        <is>
          <t>estimado</t>
        </is>
      </c>
    </row>
    <row r="8">
      <c r="A8" s="11" t="inlineStr">
        <is>
          <t>M11_bandeja_sup</t>
        </is>
      </c>
      <c r="B8" s="11" t="inlineStr">
        <is>
          <t>nodo simple</t>
        </is>
      </c>
      <c r="C8" s="11" t="inlineStr">
        <is>
          <t>M11 bandeja (M11_bandeja_sup)</t>
        </is>
      </c>
      <c r="D8" s="11" t="n">
        <v>1</v>
      </c>
      <c r="E8" s="11" t="n">
        <v>115</v>
      </c>
      <c r="F8" s="11" t="n">
        <v>114</v>
      </c>
      <c r="G8" s="11" t="n">
        <v>3</v>
      </c>
      <c r="H8" s="11" t="n">
        <v>38.06</v>
      </c>
      <c r="I8" s="11" t="inlineStr">
        <is>
          <t>sin girar</t>
        </is>
      </c>
      <c r="J8" s="11" t="inlineStr">
        <is>
          <t>no</t>
        </is>
      </c>
      <c r="K8" s="11" t="inlineStr">
        <is>
          <t>40 %</t>
        </is>
      </c>
      <c r="L8" s="11" t="n">
        <v>0.91</v>
      </c>
      <c r="M8" s="11">
        <f>H8*RESUMEN!$B$3*L8</f>
        <v/>
      </c>
      <c r="N8" s="11">
        <f>M8*D8</f>
        <v/>
      </c>
      <c r="O8" s="11">
        <f>M8/RESUMEN!$B$4</f>
        <v/>
      </c>
      <c r="P8" s="11">
        <f>O8*D8</f>
        <v/>
      </c>
      <c r="Q8" s="11">
        <f>N8/1000*RESUMEN!$B$5</f>
        <v/>
      </c>
      <c r="R8" s="11" t="inlineStr">
        <is>
          <t>estimado</t>
        </is>
      </c>
    </row>
    <row r="9">
      <c r="A9" s="11" t="inlineStr">
        <is>
          <t>M4_capsula_cuerpo</t>
        </is>
      </c>
      <c r="B9" s="11" t="inlineStr">
        <is>
          <t>nodo simple</t>
        </is>
      </c>
      <c r="C9" s="11" t="inlineStr">
        <is>
          <t>M4 capsula, cuerpo</t>
        </is>
      </c>
      <c r="D9" s="11" t="n">
        <v>2</v>
      </c>
      <c r="E9" s="11" t="n">
        <v>64</v>
      </c>
      <c r="F9" s="11" t="n">
        <v>64</v>
      </c>
      <c r="G9" s="11" t="n">
        <v>44</v>
      </c>
      <c r="H9" s="11" t="n">
        <v>45.95</v>
      </c>
      <c r="I9" s="11" t="inlineStr">
        <is>
          <t>Y-90</t>
        </is>
      </c>
      <c r="J9" s="11" t="inlineStr">
        <is>
          <t>si</t>
        </is>
      </c>
      <c r="K9" s="11" t="inlineStr">
        <is>
          <t>100 %</t>
        </is>
      </c>
      <c r="L9" s="11" t="n">
        <v>1</v>
      </c>
      <c r="M9" s="11">
        <f>H9*RESUMEN!$B$3*L9</f>
        <v/>
      </c>
      <c r="N9" s="11">
        <f>M9*D9</f>
        <v/>
      </c>
      <c r="O9" s="11">
        <f>M9/RESUMEN!$B$4</f>
        <v/>
      </c>
      <c r="P9" s="11">
        <f>O9*D9</f>
        <v/>
      </c>
      <c r="Q9" s="11">
        <f>N9/1000*RESUMEN!$B$5</f>
        <v/>
      </c>
      <c r="R9" s="11" t="inlineStr">
        <is>
          <t>estimado</t>
        </is>
      </c>
    </row>
    <row r="10">
      <c r="A10" s="11" t="inlineStr">
        <is>
          <t>M6_capsula_bisel</t>
        </is>
      </c>
      <c r="B10" s="11" t="inlineStr">
        <is>
          <t>nodo simple</t>
        </is>
      </c>
      <c r="C10" s="11" t="inlineStr">
        <is>
          <t>M6 bisel</t>
        </is>
      </c>
      <c r="D10" s="11" t="n">
        <v>2</v>
      </c>
      <c r="E10" s="11" t="n">
        <v>42</v>
      </c>
      <c r="F10" s="11" t="n">
        <v>42</v>
      </c>
      <c r="G10" s="11" t="n">
        <v>2.5</v>
      </c>
      <c r="H10" s="11" t="n">
        <v>1.89</v>
      </c>
      <c r="I10" s="11" t="inlineStr">
        <is>
          <t>Y+90</t>
        </is>
      </c>
      <c r="J10" s="11" t="inlineStr">
        <is>
          <t>no</t>
        </is>
      </c>
      <c r="K10" s="11" t="inlineStr">
        <is>
          <t>40 %</t>
        </is>
      </c>
      <c r="L10" s="11" t="n">
        <v>1</v>
      </c>
      <c r="M10" s="11">
        <f>H10*RESUMEN!$B$3*L10</f>
        <v/>
      </c>
      <c r="N10" s="11">
        <f>M10*D10</f>
        <v/>
      </c>
      <c r="O10" s="11">
        <f>M10/RESUMEN!$B$4</f>
        <v/>
      </c>
      <c r="P10" s="11">
        <f>O10*D10</f>
        <v/>
      </c>
      <c r="Q10" s="11">
        <f>N10/1000*RESUMEN!$B$5</f>
        <v/>
      </c>
      <c r="R10" s="11" t="inlineStr">
        <is>
          <t>estimado</t>
        </is>
      </c>
    </row>
    <row r="11">
      <c r="A11" s="11" t="inlineStr">
        <is>
          <t>LR1_separador</t>
        </is>
      </c>
      <c r="B11" s="11" t="inlineStr">
        <is>
          <t>linterna de prueba</t>
        </is>
      </c>
      <c r="C11" s="11" t="inlineStr">
        <is>
          <t>LR1 separador</t>
        </is>
      </c>
      <c r="D11" s="11" t="n">
        <v>1</v>
      </c>
      <c r="E11" s="11" t="n">
        <v>211.9</v>
      </c>
      <c r="F11" s="11" t="n">
        <v>211.9</v>
      </c>
      <c r="G11" s="11" t="n">
        <v>6</v>
      </c>
      <c r="H11" s="11" t="n">
        <v>44.86</v>
      </c>
      <c r="I11" s="11" t="inlineStr">
        <is>
          <t>sin girar</t>
        </is>
      </c>
      <c r="J11" s="11" t="inlineStr">
        <is>
          <t>no</t>
        </is>
      </c>
      <c r="K11" s="11" t="inlineStr">
        <is>
          <t>40 %</t>
        </is>
      </c>
      <c r="L11" s="11" t="n">
        <v>0.766</v>
      </c>
      <c r="M11" s="11">
        <f>H11*RESUMEN!$B$3*L11</f>
        <v/>
      </c>
      <c r="N11" s="11">
        <f>M11*D11</f>
        <v/>
      </c>
      <c r="O11" s="11">
        <f>M11/RESUMEN!$B$4</f>
        <v/>
      </c>
      <c r="P11" s="11">
        <f>O11*D11</f>
        <v/>
      </c>
      <c r="Q11" s="11">
        <f>N11/1000*RESUMEN!$B$5</f>
        <v/>
      </c>
      <c r="R11" s="11" t="inlineStr">
        <is>
          <t>estimado</t>
        </is>
      </c>
    </row>
    <row r="12">
      <c r="A12" s="11" t="inlineStr">
        <is>
          <t>B1s_casco</t>
        </is>
      </c>
      <c r="B12" s="11" t="inlineStr">
        <is>
          <t>boya simple</t>
        </is>
      </c>
      <c r="C12" s="11" t="inlineStr">
        <is>
          <t>B1s casco</t>
        </is>
      </c>
      <c r="D12" s="11" t="n">
        <v>1</v>
      </c>
      <c r="E12" s="11" t="n">
        <v>240</v>
      </c>
      <c r="F12" s="11" t="n">
        <v>220</v>
      </c>
      <c r="G12" s="11" t="n">
        <v>125</v>
      </c>
      <c r="H12" s="11" t="n">
        <v>753.49</v>
      </c>
      <c r="I12" s="11" t="inlineStr">
        <is>
          <t>X180</t>
        </is>
      </c>
      <c r="J12" s="11" t="inlineStr">
        <is>
          <t>si</t>
        </is>
      </c>
      <c r="K12" s="11" t="inlineStr">
        <is>
          <t>100 %</t>
        </is>
      </c>
      <c r="L12" s="11" t="n">
        <v>1</v>
      </c>
      <c r="M12" s="11">
        <f>H12*RESUMEN!$B$3*L12</f>
        <v/>
      </c>
      <c r="N12" s="11">
        <f>M12*D12</f>
        <v/>
      </c>
      <c r="O12" s="11">
        <f>M12/RESUMEN!$B$4</f>
        <v/>
      </c>
      <c r="P12" s="11">
        <f>O12*D12</f>
        <v/>
      </c>
      <c r="Q12" s="11">
        <f>N12/1000*RESUMEN!$B$5</f>
        <v/>
      </c>
      <c r="R12" s="11" t="inlineStr">
        <is>
          <t>estimado</t>
        </is>
      </c>
    </row>
    <row r="13">
      <c r="A13" s="11" t="inlineStr">
        <is>
          <t>B2s_tapa</t>
        </is>
      </c>
      <c r="B13" s="11" t="inlineStr">
        <is>
          <t>boya simple</t>
        </is>
      </c>
      <c r="C13" s="11" t="inlineStr">
        <is>
          <t>B2s tapa</t>
        </is>
      </c>
      <c r="D13" s="11" t="n">
        <v>1</v>
      </c>
      <c r="E13" s="11" t="n">
        <v>9</v>
      </c>
      <c r="F13" s="11" t="n">
        <v>220</v>
      </c>
      <c r="G13" s="11" t="n">
        <v>240</v>
      </c>
      <c r="H13" s="11" t="n">
        <v>260.46</v>
      </c>
      <c r="I13" s="11" t="inlineStr">
        <is>
          <t>Y+90</t>
        </is>
      </c>
      <c r="J13" s="11" t="inlineStr">
        <is>
          <t>si</t>
        </is>
      </c>
      <c r="K13" s="11" t="inlineStr">
        <is>
          <t>100 %</t>
        </is>
      </c>
      <c r="L13" s="11" t="n">
        <v>1</v>
      </c>
      <c r="M13" s="11">
        <f>H13*RESUMEN!$B$3*L13</f>
        <v/>
      </c>
      <c r="N13" s="11">
        <f>M13*D13</f>
        <v/>
      </c>
      <c r="O13" s="11">
        <f>M13/RESUMEN!$B$4</f>
        <v/>
      </c>
      <c r="P13" s="11">
        <f>O13*D13</f>
        <v/>
      </c>
      <c r="Q13" s="11">
        <f>N13/1000*RESUMEN!$B$5</f>
        <v/>
      </c>
      <c r="R13" s="11" t="inlineStr">
        <is>
          <t>estimado</t>
        </is>
      </c>
    </row>
    <row r="14">
      <c r="A14" s="11" t="inlineStr">
        <is>
          <t>B1bs_bandeja</t>
        </is>
      </c>
      <c r="B14" s="11" t="inlineStr">
        <is>
          <t>boya simple</t>
        </is>
      </c>
      <c r="C14" s="11" t="inlineStr">
        <is>
          <t>B1bs bandeja</t>
        </is>
      </c>
      <c r="D14" s="11" t="n">
        <v>1</v>
      </c>
      <c r="E14" s="11" t="n">
        <v>206</v>
      </c>
      <c r="F14" s="11" t="n">
        <v>186</v>
      </c>
      <c r="G14" s="11" t="n">
        <v>3</v>
      </c>
      <c r="H14" s="11" t="n">
        <v>112.95</v>
      </c>
      <c r="I14" s="11" t="inlineStr">
        <is>
          <t>sin girar</t>
        </is>
      </c>
      <c r="J14" s="11" t="inlineStr">
        <is>
          <t>no</t>
        </is>
      </c>
      <c r="K14" s="11" t="inlineStr">
        <is>
          <t>40 %</t>
        </is>
      </c>
      <c r="L14" s="11" t="n">
        <v>0.897</v>
      </c>
      <c r="M14" s="11">
        <f>H14*RESUMEN!$B$3*L14</f>
        <v/>
      </c>
      <c r="N14" s="11">
        <f>M14*D14</f>
        <v/>
      </c>
      <c r="O14" s="11">
        <f>M14/RESUMEN!$B$4</f>
        <v/>
      </c>
      <c r="P14" s="11">
        <f>O14*D14</f>
        <v/>
      </c>
      <c r="Q14" s="11">
        <f>N14/1000*RESUMEN!$B$5</f>
        <v/>
      </c>
      <c r="R14" s="11" t="inlineStr">
        <is>
          <t>estimado</t>
        </is>
      </c>
    </row>
    <row r="15">
      <c r="A15" s="11" t="inlineStr">
        <is>
          <t>B3s_larguero</t>
        </is>
      </c>
      <c r="B15" s="11" t="inlineStr">
        <is>
          <t>boya simple</t>
        </is>
      </c>
      <c r="C15" s="11" t="inlineStr">
        <is>
          <t>B3s larguero del panel</t>
        </is>
      </c>
      <c r="D15" s="11" t="n">
        <v>2</v>
      </c>
      <c r="E15" s="11" t="n">
        <v>24</v>
      </c>
      <c r="F15" s="11" t="n">
        <v>170</v>
      </c>
      <c r="G15" s="11" t="n">
        <v>21</v>
      </c>
      <c r="H15" s="11" t="n">
        <v>28.42</v>
      </c>
      <c r="I15" s="11" t="inlineStr">
        <is>
          <t>X180</t>
        </is>
      </c>
      <c r="J15" s="11" t="inlineStr">
        <is>
          <t>no</t>
        </is>
      </c>
      <c r="K15" s="11" t="inlineStr">
        <is>
          <t>40 %</t>
        </is>
      </c>
      <c r="L15" s="11" t="n">
        <v>0.714</v>
      </c>
      <c r="M15" s="11">
        <f>H15*RESUMEN!$B$3*L15</f>
        <v/>
      </c>
      <c r="N15" s="11">
        <f>M15*D15</f>
        <v/>
      </c>
      <c r="O15" s="11">
        <f>M15/RESUMEN!$B$4</f>
        <v/>
      </c>
      <c r="P15" s="11">
        <f>O15*D15</f>
        <v/>
      </c>
      <c r="Q15" s="11">
        <f>N15/1000*RESUMEN!$B$5</f>
        <v/>
      </c>
      <c r="R15" s="11" t="inlineStr">
        <is>
          <t>estimado</t>
        </is>
      </c>
    </row>
    <row r="16">
      <c r="A16" s="11" t="inlineStr">
        <is>
          <t>B5s_flotador</t>
        </is>
      </c>
      <c r="B16" s="11" t="inlineStr">
        <is>
          <t>boya simple</t>
        </is>
      </c>
      <c r="C16" s="11" t="inlineStr">
        <is>
          <t>B5s flotador de esquina</t>
        </is>
      </c>
      <c r="D16" s="11" t="n">
        <v>4</v>
      </c>
      <c r="E16" s="11" t="n">
        <v>60</v>
      </c>
      <c r="F16" s="11" t="n">
        <v>100</v>
      </c>
      <c r="G16" s="11" t="n">
        <v>100</v>
      </c>
      <c r="H16" s="11" t="n">
        <v>91.47</v>
      </c>
      <c r="I16" s="11" t="inlineStr">
        <is>
          <t>Y+90</t>
        </is>
      </c>
      <c r="J16" s="11" t="inlineStr">
        <is>
          <t>si</t>
        </is>
      </c>
      <c r="K16" s="11" t="inlineStr">
        <is>
          <t>100 %</t>
        </is>
      </c>
      <c r="L16" s="11" t="n">
        <v>1</v>
      </c>
      <c r="M16" s="11">
        <f>H16*RESUMEN!$B$3*L16</f>
        <v/>
      </c>
      <c r="N16" s="11">
        <f>M16*D16</f>
        <v/>
      </c>
      <c r="O16" s="11">
        <f>M16/RESUMEN!$B$4</f>
        <v/>
      </c>
      <c r="P16" s="11">
        <f>O16*D16</f>
        <v/>
      </c>
      <c r="Q16" s="11">
        <f>N16/1000*RESUMEN!$B$5</f>
        <v/>
      </c>
      <c r="R16" s="11" t="inlineStr">
        <is>
          <t>estimado</t>
        </is>
      </c>
    </row>
    <row r="17">
      <c r="A17" s="11" t="inlineStr">
        <is>
          <t>B6s_ojal</t>
        </is>
      </c>
      <c r="B17" s="11" t="inlineStr">
        <is>
          <t>boya simple</t>
        </is>
      </c>
      <c r="C17" s="11" t="inlineStr">
        <is>
          <t>B6s ojal de amarre</t>
        </is>
      </c>
      <c r="D17" s="11" t="n">
        <v>1</v>
      </c>
      <c r="E17" s="11" t="n">
        <v>30</v>
      </c>
      <c r="F17" s="11" t="n">
        <v>24</v>
      </c>
      <c r="G17" s="11" t="n">
        <v>26</v>
      </c>
      <c r="H17" s="11" t="n">
        <v>8.31</v>
      </c>
      <c r="I17" s="11" t="inlineStr">
        <is>
          <t>X180</t>
        </is>
      </c>
      <c r="J17" s="11" t="inlineStr">
        <is>
          <t>no</t>
        </is>
      </c>
      <c r="K17" s="11" t="inlineStr">
        <is>
          <t>100 %</t>
        </is>
      </c>
      <c r="L17" s="11" t="n">
        <v>1</v>
      </c>
      <c r="M17" s="11">
        <f>H17*RESUMEN!$B$3*L17</f>
        <v/>
      </c>
      <c r="N17" s="11">
        <f>M17*D17</f>
        <v/>
      </c>
      <c r="O17" s="11">
        <f>M17/RESUMEN!$B$4</f>
        <v/>
      </c>
      <c r="P17" s="11">
        <f>O17*D17</f>
        <v/>
      </c>
      <c r="Q17" s="11">
        <f>N17/1000*RESUMEN!$B$5</f>
        <v/>
      </c>
      <c r="R17" s="11" t="inlineStr">
        <is>
          <t>estimado</t>
        </is>
      </c>
    </row>
    <row r="18">
      <c r="A18" s="11" t="inlineStr">
        <is>
          <t>M1_caja_cuerpo</t>
        </is>
      </c>
      <c r="B18" s="11" t="inlineStr">
        <is>
          <t>modular D200</t>
        </is>
      </c>
      <c r="C18" s="11" t="inlineStr">
        <is>
          <t>Caja, cuerpo</t>
        </is>
      </c>
      <c r="D18" s="11" t="n">
        <v>1</v>
      </c>
      <c r="E18" s="11" t="n">
        <v>159.6</v>
      </c>
      <c r="F18" s="11" t="n">
        <v>126</v>
      </c>
      <c r="G18" s="11" t="n">
        <v>50</v>
      </c>
      <c r="H18" s="11" t="n">
        <v>214.82</v>
      </c>
      <c r="I18" s="11" t="inlineStr">
        <is>
          <t>sin girar</t>
        </is>
      </c>
      <c r="J18" s="11" t="inlineStr">
        <is>
          <t>si</t>
        </is>
      </c>
      <c r="K18" s="11" t="inlineStr">
        <is>
          <t>100 %</t>
        </is>
      </c>
      <c r="L18" s="11" t="n">
        <v>1</v>
      </c>
      <c r="M18" s="11">
        <f>H18*RESUMEN!$B$3*L18</f>
        <v/>
      </c>
      <c r="N18" s="11">
        <f>M18*D18</f>
        <v/>
      </c>
      <c r="O18" s="11">
        <f>M18/RESUMEN!$B$4</f>
        <v/>
      </c>
      <c r="P18" s="11">
        <f>O18*D18</f>
        <v/>
      </c>
      <c r="Q18" s="11">
        <f>N18/1000*RESUMEN!$B$5</f>
        <v/>
      </c>
      <c r="R18" s="11" t="inlineStr">
        <is>
          <t>estimado</t>
        </is>
      </c>
    </row>
    <row r="19">
      <c r="A19" s="11" t="inlineStr">
        <is>
          <t>M2_caja_tapa</t>
        </is>
      </c>
      <c r="B19" s="11" t="inlineStr">
        <is>
          <t>modular D200</t>
        </is>
      </c>
      <c r="C19" s="11" t="inlineStr">
        <is>
          <t>Caja, tapa con asa</t>
        </is>
      </c>
      <c r="D19" s="11" t="n">
        <v>1</v>
      </c>
      <c r="E19" s="11" t="n">
        <v>63</v>
      </c>
      <c r="F19" s="11" t="n">
        <v>126</v>
      </c>
      <c r="G19" s="11" t="n">
        <v>159.6</v>
      </c>
      <c r="H19" s="11" t="n">
        <v>129.41</v>
      </c>
      <c r="I19" s="11" t="inlineStr">
        <is>
          <t>Y+90</t>
        </is>
      </c>
      <c r="J19" s="11" t="inlineStr">
        <is>
          <t>si</t>
        </is>
      </c>
      <c r="K19" s="11" t="inlineStr">
        <is>
          <t>100 %</t>
        </is>
      </c>
      <c r="L19" s="11" t="n">
        <v>1</v>
      </c>
      <c r="M19" s="11">
        <f>H19*RESUMEN!$B$3*L19</f>
        <v/>
      </c>
      <c r="N19" s="11">
        <f>M19*D19</f>
        <v/>
      </c>
      <c r="O19" s="11">
        <f>M19/RESUMEN!$B$4</f>
        <v/>
      </c>
      <c r="P19" s="11">
        <f>O19*D19</f>
        <v/>
      </c>
      <c r="Q19" s="11">
        <f>N19/1000*RESUMEN!$B$5</f>
        <v/>
      </c>
      <c r="R19" s="11" t="inlineStr">
        <is>
          <t>estimado</t>
        </is>
      </c>
    </row>
    <row r="20">
      <c r="A20" s="11" t="inlineStr">
        <is>
          <t>M11_bandeja</t>
        </is>
      </c>
      <c r="B20" s="11" t="inlineStr">
        <is>
          <t>modular D200</t>
        </is>
      </c>
      <c r="C20" s="11" t="inlineStr">
        <is>
          <t>Bandeja</t>
        </is>
      </c>
      <c r="D20" s="11" t="n">
        <v>1</v>
      </c>
      <c r="E20" s="11" t="n">
        <v>127.6</v>
      </c>
      <c r="F20" s="11" t="n">
        <v>94</v>
      </c>
      <c r="G20" s="11" t="n">
        <v>18</v>
      </c>
      <c r="H20" s="11" t="n">
        <v>35.64</v>
      </c>
      <c r="I20" s="11" t="inlineStr">
        <is>
          <t>sin girar</t>
        </is>
      </c>
      <c r="J20" s="11" t="inlineStr">
        <is>
          <t>no</t>
        </is>
      </c>
      <c r="K20" s="11" t="inlineStr">
        <is>
          <t>40 %</t>
        </is>
      </c>
      <c r="L20" s="11" t="n">
        <v>0.912</v>
      </c>
      <c r="M20" s="11">
        <f>H20*RESUMEN!$B$3*L20</f>
        <v/>
      </c>
      <c r="N20" s="11">
        <f>M20*D20</f>
        <v/>
      </c>
      <c r="O20" s="11">
        <f>M20/RESUMEN!$B$4</f>
        <v/>
      </c>
      <c r="P20" s="11">
        <f>O20*D20</f>
        <v/>
      </c>
      <c r="Q20" s="11">
        <f>N20/1000*RESUMEN!$B$5</f>
        <v/>
      </c>
      <c r="R20" s="11" t="inlineStr">
        <is>
          <t>estimado</t>
        </is>
      </c>
    </row>
    <row r="21">
      <c r="A21" s="11" t="inlineStr">
        <is>
          <t>M3_riel_central</t>
        </is>
      </c>
      <c r="B21" s="11" t="inlineStr">
        <is>
          <t>modular D200</t>
        </is>
      </c>
      <c r="C21" s="11" t="inlineStr">
        <is>
          <t>Riel, tramo central</t>
        </is>
      </c>
      <c r="D21" s="11" t="n">
        <v>1</v>
      </c>
      <c r="E21" s="11" t="n">
        <v>69.8</v>
      </c>
      <c r="F21" s="11" t="n">
        <v>100</v>
      </c>
      <c r="G21" s="11" t="n">
        <v>140</v>
      </c>
      <c r="H21" s="11" t="n">
        <v>170.11</v>
      </c>
      <c r="I21" s="11" t="inlineStr">
        <is>
          <t>Y+90</t>
        </is>
      </c>
      <c r="J21" s="11" t="inlineStr">
        <is>
          <t>si</t>
        </is>
      </c>
      <c r="K21" s="11" t="inlineStr">
        <is>
          <t>100 %</t>
        </is>
      </c>
      <c r="L21" s="11" t="n">
        <v>1</v>
      </c>
      <c r="M21" s="11">
        <f>H21*RESUMEN!$B$3*L21</f>
        <v/>
      </c>
      <c r="N21" s="11">
        <f>M21*D21</f>
        <v/>
      </c>
      <c r="O21" s="11">
        <f>M21/RESUMEN!$B$4</f>
        <v/>
      </c>
      <c r="P21" s="11">
        <f>O21*D21</f>
        <v/>
      </c>
      <c r="Q21" s="11">
        <f>N21/1000*RESUMEN!$B$5</f>
        <v/>
      </c>
      <c r="R21" s="11" t="inlineStr">
        <is>
          <t>estimado</t>
        </is>
      </c>
    </row>
    <row r="22">
      <c r="A22" s="11" t="inlineStr">
        <is>
          <t>M3_riel_ext</t>
        </is>
      </c>
      <c r="B22" s="11" t="inlineStr">
        <is>
          <t>modular D200</t>
        </is>
      </c>
      <c r="C22" s="11" t="inlineStr">
        <is>
          <t>Riel, extension</t>
        </is>
      </c>
      <c r="D22" s="11" t="n">
        <v>2</v>
      </c>
      <c r="E22" s="11" t="n">
        <v>30</v>
      </c>
      <c r="F22" s="11" t="n">
        <v>30</v>
      </c>
      <c r="G22" s="11" t="n">
        <v>115</v>
      </c>
      <c r="H22" s="11" t="n">
        <v>44.76</v>
      </c>
      <c r="I22" s="11" t="inlineStr">
        <is>
          <t>Y+90</t>
        </is>
      </c>
      <c r="J22" s="11" t="inlineStr">
        <is>
          <t>si</t>
        </is>
      </c>
      <c r="K22" s="11" t="inlineStr">
        <is>
          <t>100 %</t>
        </is>
      </c>
      <c r="L22" s="11" t="n">
        <v>1</v>
      </c>
      <c r="M22" s="11">
        <f>H22*RESUMEN!$B$3*L22</f>
        <v/>
      </c>
      <c r="N22" s="11">
        <f>M22*D22</f>
        <v/>
      </c>
      <c r="O22" s="11">
        <f>M22/RESUMEN!$B$4</f>
        <v/>
      </c>
      <c r="P22" s="11">
        <f>O22*D22</f>
        <v/>
      </c>
      <c r="Q22" s="11">
        <f>N22/1000*RESUMEN!$B$5</f>
        <v/>
      </c>
      <c r="R22" s="11" t="inlineStr">
        <is>
          <t>estimado</t>
        </is>
      </c>
    </row>
    <row r="23">
      <c r="A23" s="11" t="inlineStr">
        <is>
          <t>M3_riel_punta</t>
        </is>
      </c>
      <c r="B23" s="11" t="inlineStr">
        <is>
          <t>modular D200</t>
        </is>
      </c>
      <c r="C23" s="11" t="inlineStr">
        <is>
          <t>Riel, punta</t>
        </is>
      </c>
      <c r="D23" s="11" t="n">
        <v>2</v>
      </c>
      <c r="E23" s="11" t="n">
        <v>30</v>
      </c>
      <c r="F23" s="11" t="n">
        <v>30</v>
      </c>
      <c r="G23" s="11" t="n">
        <v>60</v>
      </c>
      <c r="H23" s="11" t="n">
        <v>25.32</v>
      </c>
      <c r="I23" s="11" t="inlineStr">
        <is>
          <t>Y+90</t>
        </is>
      </c>
      <c r="J23" s="11" t="inlineStr">
        <is>
          <t>si</t>
        </is>
      </c>
      <c r="K23" s="11" t="inlineStr">
        <is>
          <t>40 %</t>
        </is>
      </c>
      <c r="L23" s="11" t="n">
        <v>0.8090000000000001</v>
      </c>
      <c r="M23" s="11">
        <f>H23*RESUMEN!$B$3*L23</f>
        <v/>
      </c>
      <c r="N23" s="11">
        <f>M23*D23</f>
        <v/>
      </c>
      <c r="O23" s="11">
        <f>M23/RESUMEN!$B$4</f>
        <v/>
      </c>
      <c r="P23" s="11">
        <f>O23*D23</f>
        <v/>
      </c>
      <c r="Q23" s="11">
        <f>N23/1000*RESUMEN!$B$5</f>
        <v/>
      </c>
      <c r="R23" s="11" t="inlineStr">
        <is>
          <t>estimado</t>
        </is>
      </c>
    </row>
    <row r="24">
      <c r="A24" s="11" t="inlineStr">
        <is>
          <t>M3_tapa_bolsillo</t>
        </is>
      </c>
      <c r="B24" s="11" t="inlineStr">
        <is>
          <t>modular D200</t>
        </is>
      </c>
      <c r="C24" s="11" t="inlineStr">
        <is>
          <t>Tapa del bolsillo</t>
        </is>
      </c>
      <c r="D24" s="11" t="n">
        <v>2</v>
      </c>
      <c r="E24" s="11" t="n">
        <v>107</v>
      </c>
      <c r="F24" s="11" t="n">
        <v>35</v>
      </c>
      <c r="G24" s="11" t="n">
        <v>3</v>
      </c>
      <c r="H24" s="11" t="n">
        <v>9.58</v>
      </c>
      <c r="I24" s="11" t="inlineStr">
        <is>
          <t>X180</t>
        </is>
      </c>
      <c r="J24" s="11" t="inlineStr">
        <is>
          <t>no</t>
        </is>
      </c>
      <c r="K24" s="11" t="inlineStr">
        <is>
          <t>40 %</t>
        </is>
      </c>
      <c r="L24" s="11" t="n">
        <v>0.953</v>
      </c>
      <c r="M24" s="11">
        <f>H24*RESUMEN!$B$3*L24</f>
        <v/>
      </c>
      <c r="N24" s="11">
        <f>M24*D24</f>
        <v/>
      </c>
      <c r="O24" s="11">
        <f>M24/RESUMEN!$B$4</f>
        <v/>
      </c>
      <c r="P24" s="11">
        <f>O24*D24</f>
        <v/>
      </c>
      <c r="Q24" s="11">
        <f>N24/1000*RESUMEN!$B$5</f>
        <v/>
      </c>
      <c r="R24" s="11" t="inlineStr">
        <is>
          <t>estimado</t>
        </is>
      </c>
    </row>
    <row r="25">
      <c r="A25" s="11" t="inlineStr">
        <is>
          <t>M4_capsula_cuerpo</t>
        </is>
      </c>
      <c r="B25" s="11" t="inlineStr">
        <is>
          <t>modular D200</t>
        </is>
      </c>
      <c r="C25" s="11" t="inlineStr">
        <is>
          <t>Capsula, cuerpo</t>
        </is>
      </c>
      <c r="D25" s="11" t="n">
        <v>2</v>
      </c>
      <c r="E25" s="11" t="n">
        <v>64</v>
      </c>
      <c r="F25" s="11" t="n">
        <v>64</v>
      </c>
      <c r="G25" s="11" t="n">
        <v>44</v>
      </c>
      <c r="H25" s="11" t="n">
        <v>45.95</v>
      </c>
      <c r="I25" s="11" t="inlineStr">
        <is>
          <t>Y-90</t>
        </is>
      </c>
      <c r="J25" s="11" t="inlineStr">
        <is>
          <t>si</t>
        </is>
      </c>
      <c r="K25" s="11" t="inlineStr">
        <is>
          <t>100 %</t>
        </is>
      </c>
      <c r="L25" s="11" t="n">
        <v>1</v>
      </c>
      <c r="M25" s="11">
        <f>H25*RESUMEN!$B$3*L25</f>
        <v/>
      </c>
      <c r="N25" s="11">
        <f>M25*D25</f>
        <v/>
      </c>
      <c r="O25" s="11">
        <f>M25/RESUMEN!$B$4</f>
        <v/>
      </c>
      <c r="P25" s="11">
        <f>O25*D25</f>
        <v/>
      </c>
      <c r="Q25" s="11">
        <f>N25/1000*RESUMEN!$B$5</f>
        <v/>
      </c>
      <c r="R25" s="11" t="inlineStr">
        <is>
          <t>estimado</t>
        </is>
      </c>
    </row>
    <row r="26">
      <c r="A26" s="11" t="inlineStr">
        <is>
          <t>M5_capsula_tapa</t>
        </is>
      </c>
      <c r="B26" s="11" t="inlineStr">
        <is>
          <t>modular D200</t>
        </is>
      </c>
      <c r="C26" s="11" t="inlineStr">
        <is>
          <t>Capsula, tapa con bisagra</t>
        </is>
      </c>
      <c r="D26" s="11" t="n">
        <v>2</v>
      </c>
      <c r="E26" s="11" t="n">
        <v>33</v>
      </c>
      <c r="F26" s="11" t="n">
        <v>64</v>
      </c>
      <c r="G26" s="11" t="n">
        <v>64</v>
      </c>
      <c r="H26" s="11" t="n">
        <v>23.47</v>
      </c>
      <c r="I26" s="11" t="inlineStr">
        <is>
          <t>X-90</t>
        </is>
      </c>
      <c r="J26" s="11" t="inlineStr">
        <is>
          <t>si</t>
        </is>
      </c>
      <c r="K26" s="11" t="inlineStr">
        <is>
          <t>100 %</t>
        </is>
      </c>
      <c r="L26" s="11" t="n">
        <v>1</v>
      </c>
      <c r="M26" s="11">
        <f>H26*RESUMEN!$B$3*L26</f>
        <v/>
      </c>
      <c r="N26" s="11">
        <f>M26*D26</f>
        <v/>
      </c>
      <c r="O26" s="11">
        <f>M26/RESUMEN!$B$4</f>
        <v/>
      </c>
      <c r="P26" s="11">
        <f>O26*D26</f>
        <v/>
      </c>
      <c r="Q26" s="11">
        <f>N26/1000*RESUMEN!$B$5</f>
        <v/>
      </c>
      <c r="R26" s="11" t="inlineStr">
        <is>
          <t>estimado</t>
        </is>
      </c>
    </row>
    <row r="27">
      <c r="A27" s="11" t="inlineStr">
        <is>
          <t>M6_capsula_bisel</t>
        </is>
      </c>
      <c r="B27" s="11" t="inlineStr">
        <is>
          <t>modular D200</t>
        </is>
      </c>
      <c r="C27" s="11" t="inlineStr">
        <is>
          <t>Bisel</t>
        </is>
      </c>
      <c r="D27" s="11" t="n">
        <v>2</v>
      </c>
      <c r="E27" s="11" t="n">
        <v>42</v>
      </c>
      <c r="F27" s="11" t="n">
        <v>42</v>
      </c>
      <c r="G27" s="11" t="n">
        <v>2.5</v>
      </c>
      <c r="H27" s="11" t="n">
        <v>1.89</v>
      </c>
      <c r="I27" s="11" t="inlineStr">
        <is>
          <t>Y+90</t>
        </is>
      </c>
      <c r="J27" s="11" t="inlineStr">
        <is>
          <t>no</t>
        </is>
      </c>
      <c r="K27" s="11" t="inlineStr">
        <is>
          <t>40 %</t>
        </is>
      </c>
      <c r="L27" s="11" t="n">
        <v>1</v>
      </c>
      <c r="M27" s="11">
        <f>H27*RESUMEN!$B$3*L27</f>
        <v/>
      </c>
      <c r="N27" s="11">
        <f>M27*D27</f>
        <v/>
      </c>
      <c r="O27" s="11">
        <f>M27/RESUMEN!$B$4</f>
        <v/>
      </c>
      <c r="P27" s="11">
        <f>O27*D27</f>
        <v/>
      </c>
      <c r="Q27" s="11">
        <f>N27/1000*RESUMEN!$B$5</f>
        <v/>
      </c>
      <c r="R27" s="11" t="inlineStr">
        <is>
          <t>estimado</t>
        </is>
      </c>
    </row>
    <row r="28">
      <c r="A28" s="11" t="inlineStr">
        <is>
          <t>M9_gancho</t>
        </is>
      </c>
      <c r="B28" s="11" t="inlineStr">
        <is>
          <t>modular D200</t>
        </is>
      </c>
      <c r="C28" s="11" t="inlineStr">
        <is>
          <t>Gancho al aro</t>
        </is>
      </c>
      <c r="D28" s="11" t="n">
        <v>2</v>
      </c>
      <c r="E28" s="11" t="n">
        <v>59</v>
      </c>
      <c r="F28" s="11" t="n">
        <v>30</v>
      </c>
      <c r="G28" s="11" t="n">
        <v>68</v>
      </c>
      <c r="H28" s="11" t="n">
        <v>19.51</v>
      </c>
      <c r="I28" s="11" t="inlineStr">
        <is>
          <t>Y+90</t>
        </is>
      </c>
      <c r="J28" s="11" t="inlineStr">
        <is>
          <t>si</t>
        </is>
      </c>
      <c r="K28" s="11" t="inlineStr">
        <is>
          <t>40 %</t>
        </is>
      </c>
      <c r="L28" s="11" t="n">
        <v>0.735</v>
      </c>
      <c r="M28" s="11">
        <f>H28*RESUMEN!$B$3*L28</f>
        <v/>
      </c>
      <c r="N28" s="11">
        <f>M28*D28</f>
        <v/>
      </c>
      <c r="O28" s="11">
        <f>M28/RESUMEN!$B$4</f>
        <v/>
      </c>
      <c r="P28" s="11">
        <f>O28*D28</f>
        <v/>
      </c>
      <c r="Q28" s="11">
        <f>N28/1000*RESUMEN!$B$5</f>
        <v/>
      </c>
      <c r="R28" s="11" t="inlineStr">
        <is>
          <t>estimado</t>
        </is>
      </c>
    </row>
    <row r="29">
      <c r="A29" s="11" t="inlineStr">
        <is>
          <t>M10_carro_capsula</t>
        </is>
      </c>
      <c r="B29" s="11" t="inlineStr">
        <is>
          <t>modular D200</t>
        </is>
      </c>
      <c r="C29" s="11" t="inlineStr">
        <is>
          <t>Carro</t>
        </is>
      </c>
      <c r="D29" s="11" t="n">
        <v>2</v>
      </c>
      <c r="E29" s="11" t="n">
        <v>80.8</v>
      </c>
      <c r="F29" s="11" t="n">
        <v>38.6</v>
      </c>
      <c r="G29" s="11" t="n">
        <v>85</v>
      </c>
      <c r="H29" s="11" t="n">
        <v>54.5</v>
      </c>
      <c r="I29" s="11" t="inlineStr">
        <is>
          <t>Y-90</t>
        </is>
      </c>
      <c r="J29" s="11" t="inlineStr">
        <is>
          <t>si</t>
        </is>
      </c>
      <c r="K29" s="11" t="inlineStr">
        <is>
          <t>40 %</t>
        </is>
      </c>
      <c r="L29" s="11" t="n">
        <v>0.71</v>
      </c>
      <c r="M29" s="11">
        <f>H29*RESUMEN!$B$3*L29</f>
        <v/>
      </c>
      <c r="N29" s="11">
        <f>M29*D29</f>
        <v/>
      </c>
      <c r="O29" s="11">
        <f>M29/RESUMEN!$B$4</f>
        <v/>
      </c>
      <c r="P29" s="11">
        <f>O29*D29</f>
        <v/>
      </c>
      <c r="Q29" s="11">
        <f>N29/1000*RESUMEN!$B$5</f>
        <v/>
      </c>
      <c r="R29" s="11" t="inlineStr">
        <is>
          <t>estimado</t>
        </is>
      </c>
    </row>
    <row r="30">
      <c r="A30" s="11" t="inlineStr">
        <is>
          <t>M12_perilla</t>
        </is>
      </c>
      <c r="B30" s="11" t="inlineStr">
        <is>
          <t>modular D200</t>
        </is>
      </c>
      <c r="C30" s="11" t="inlineStr">
        <is>
          <t>Perilla</t>
        </is>
      </c>
      <c r="D30" s="11" t="n">
        <v>4</v>
      </c>
      <c r="E30" s="11" t="n">
        <v>30</v>
      </c>
      <c r="F30" s="11" t="n">
        <v>30</v>
      </c>
      <c r="G30" s="11" t="n">
        <v>12</v>
      </c>
      <c r="H30" s="11" t="n">
        <v>6.71</v>
      </c>
      <c r="I30" s="11" t="inlineStr">
        <is>
          <t>X180</t>
        </is>
      </c>
      <c r="J30" s="11" t="inlineStr">
        <is>
          <t>no</t>
        </is>
      </c>
      <c r="K30" s="11" t="inlineStr">
        <is>
          <t>40 %</t>
        </is>
      </c>
      <c r="L30" s="11" t="n">
        <v>0.695</v>
      </c>
      <c r="M30" s="11">
        <f>H30*RESUMEN!$B$3*L30</f>
        <v/>
      </c>
      <c r="N30" s="11">
        <f>M30*D30</f>
        <v/>
      </c>
      <c r="O30" s="11">
        <f>M30/RESUMEN!$B$4</f>
        <v/>
      </c>
      <c r="P30" s="11">
        <f>O30*D30</f>
        <v/>
      </c>
      <c r="Q30" s="11">
        <f>N30/1000*RESUMEN!$B$5</f>
        <v/>
      </c>
      <c r="R30" s="11" t="inlineStr">
        <is>
          <t>estimado</t>
        </is>
      </c>
    </row>
    <row r="31">
      <c r="A31" s="11" t="inlineStr">
        <is>
          <t>M13_casquillo_D8</t>
        </is>
      </c>
      <c r="B31" s="11" t="inlineStr">
        <is>
          <t>modular D200</t>
        </is>
      </c>
      <c r="C31" s="11" t="inlineStr">
        <is>
          <t>Casquillo Ø8</t>
        </is>
      </c>
      <c r="D31" s="11" t="n">
        <v>2</v>
      </c>
      <c r="E31" s="11" t="n">
        <v>15.7</v>
      </c>
      <c r="F31" s="11" t="n">
        <v>20</v>
      </c>
      <c r="G31" s="11" t="n">
        <v>13.5</v>
      </c>
      <c r="H31" s="11" t="n">
        <v>1.61</v>
      </c>
      <c r="I31" s="11" t="inlineStr">
        <is>
          <t>X-90</t>
        </is>
      </c>
      <c r="J31" s="11" t="inlineStr">
        <is>
          <t>no</t>
        </is>
      </c>
      <c r="K31" s="11" t="inlineStr">
        <is>
          <t>40 %</t>
        </is>
      </c>
      <c r="L31" s="11" t="n">
        <v>0.972</v>
      </c>
      <c r="M31" s="11">
        <f>H31*RESUMEN!$B$3*L31</f>
        <v/>
      </c>
      <c r="N31" s="11">
        <f>M31*D31</f>
        <v/>
      </c>
      <c r="O31" s="11">
        <f>M31/RESUMEN!$B$4</f>
        <v/>
      </c>
      <c r="P31" s="11">
        <f>O31*D31</f>
        <v/>
      </c>
      <c r="Q31" s="11">
        <f>N31/1000*RESUMEN!$B$5</f>
        <v/>
      </c>
      <c r="R31" s="11" t="inlineStr">
        <is>
          <t>estimado</t>
        </is>
      </c>
    </row>
    <row r="32">
      <c r="A32" s="11" t="inlineStr">
        <is>
          <t>M14_pestillo</t>
        </is>
      </c>
      <c r="B32" s="11" t="inlineStr">
        <is>
          <t>modular D200</t>
        </is>
      </c>
      <c r="C32" s="11" t="inlineStr">
        <is>
          <t>Pestillo</t>
        </is>
      </c>
      <c r="D32" s="11" t="n">
        <v>2</v>
      </c>
      <c r="E32" s="11" t="n">
        <v>12</v>
      </c>
      <c r="F32" s="11" t="n">
        <v>35.2</v>
      </c>
      <c r="G32" s="11" t="n">
        <v>3.6</v>
      </c>
      <c r="H32" s="11" t="n">
        <v>0.92</v>
      </c>
      <c r="I32" s="11" t="inlineStr">
        <is>
          <t>X+90</t>
        </is>
      </c>
      <c r="J32" s="11" t="inlineStr">
        <is>
          <t>no</t>
        </is>
      </c>
      <c r="K32" s="11" t="inlineStr">
        <is>
          <t>40 %</t>
        </is>
      </c>
      <c r="L32" s="11" t="n">
        <v>1</v>
      </c>
      <c r="M32" s="11">
        <f>H32*RESUMEN!$B$3*L32</f>
        <v/>
      </c>
      <c r="N32" s="11">
        <f>M32*D32</f>
        <v/>
      </c>
      <c r="O32" s="11">
        <f>M32/RESUMEN!$B$4</f>
        <v/>
      </c>
      <c r="P32" s="11">
        <f>O32*D32</f>
        <v/>
      </c>
      <c r="Q32" s="11">
        <f>N32/1000*RESUMEN!$B$5</f>
        <v/>
      </c>
      <c r="R32" s="11" t="inlineStr">
        <is>
          <t>estimado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>
      <c r="A34" s="14" t="inlineStr">
        <is>
          <t>Soportes: voladizo en la orientacion de impresion &gt; 300 mm². Masa = volumen x densidad x fraccion maciza (piel de impresion.cascara + relleno); horas = masa / g por hora (RESUMEN).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0" customWidth="1" min="4" max="4"/>
    <col width="29" customWidth="1" min="5" max="5"/>
    <col width="13" customWidth="1" min="6" max="6"/>
  </cols>
  <sheetData>
    <row r="1">
      <c r="A1" s="13" t="inlineStr">
        <is>
          <t>grupo</t>
        </is>
      </c>
      <c r="B1" s="13" t="inlineStr">
        <is>
          <t>item</t>
        </is>
      </c>
      <c r="C1" s="13" t="inlineStr">
        <is>
          <t>medida</t>
        </is>
      </c>
      <c r="D1" s="13" t="inlineStr">
        <is>
          <t>cantidad</t>
        </is>
      </c>
      <c r="E1" s="13" t="inlineStr">
        <is>
          <t>precio unitario S/ (llenar)</t>
        </is>
      </c>
      <c r="F1" s="13" t="inlineStr">
        <is>
          <t>subtotal S/</t>
        </is>
      </c>
    </row>
    <row r="2">
      <c r="A2" s="11" t="inlineStr">
        <is>
          <t>nodo simple</t>
        </is>
      </c>
      <c r="B2" s="11" t="inlineStr">
        <is>
          <t>Tornillo M3 x 12 + inserto termico M3 (tapa de la caja)</t>
        </is>
      </c>
      <c r="C2" s="11" t="inlineStr">
        <is>
          <t>M3</t>
        </is>
      </c>
      <c r="D2" s="11" t="n">
        <v>12</v>
      </c>
      <c r="E2" s="12" t="n"/>
      <c r="F2" s="11">
        <f>D2*E2</f>
        <v/>
      </c>
    </row>
    <row r="3">
      <c r="A3" s="11" t="inlineStr">
        <is>
          <t>nodo simple</t>
        </is>
      </c>
      <c r="B3" s="11" t="inlineStr">
        <is>
          <t>Tornillo M3 x 8 + inserto termico M3 (bandejas)</t>
        </is>
      </c>
      <c r="C3" s="11" t="inlineStr">
        <is>
          <t>M3</t>
        </is>
      </c>
      <c r="D3" s="11" t="n">
        <v>4</v>
      </c>
      <c r="E3" s="12" t="n"/>
      <c r="F3" s="11">
        <f>D3*E3</f>
        <v/>
      </c>
    </row>
    <row r="4">
      <c r="A4" s="11" t="inlineStr">
        <is>
          <t>nodo simple</t>
        </is>
      </c>
      <c r="B4" s="11" t="inlineStr">
        <is>
          <t>Tornillo M3 x 16 + tuerca (capsulas)</t>
        </is>
      </c>
      <c r="C4" s="11" t="inlineStr">
        <is>
          <t>M3</t>
        </is>
      </c>
      <c r="D4" s="11" t="n">
        <v>8</v>
      </c>
      <c r="E4" s="12" t="n"/>
      <c r="F4" s="11">
        <f>D4*E4</f>
        <v/>
      </c>
    </row>
    <row r="5">
      <c r="A5" s="11" t="inlineStr">
        <is>
          <t>nodo simple</t>
        </is>
      </c>
      <c r="B5" s="11" t="inlineStr">
        <is>
          <t>Tornillo M2 autorroscante (bisel)</t>
        </is>
      </c>
      <c r="C5" s="11" t="inlineStr">
        <is>
          <t>M2 x 6</t>
        </is>
      </c>
      <c r="D5" s="11" t="n">
        <v>6</v>
      </c>
      <c r="E5" s="12" t="n"/>
      <c r="F5" s="11">
        <f>D5*E5</f>
        <v/>
      </c>
    </row>
    <row r="6">
      <c r="A6" s="11" t="inlineStr">
        <is>
          <t>nodo simple</t>
        </is>
      </c>
      <c r="B6" s="11" t="inlineStr">
        <is>
          <t>Cordon de junta torica Ø2 (caja + 2 capsulas, +10 %)</t>
        </is>
      </c>
      <c r="C6" s="11" t="inlineStr">
        <is>
          <t>970 mm</t>
        </is>
      </c>
      <c r="D6" s="11" t="n">
        <v>1</v>
      </c>
      <c r="E6" s="12" t="n"/>
      <c r="F6" s="11">
        <f>D6*E6</f>
        <v/>
      </c>
    </row>
    <row r="7">
      <c r="A7" s="11" t="inlineStr">
        <is>
          <t>nodo simple</t>
        </is>
      </c>
      <c r="B7" s="11" t="inlineStr">
        <is>
          <t>Prensaestopas PG7 con contratuerca (3 caja + 2 capsulas)</t>
        </is>
      </c>
      <c r="C7" s="11" t="inlineStr">
        <is>
          <t>PG7</t>
        </is>
      </c>
      <c r="D7" s="11" t="n">
        <v>5</v>
      </c>
      <c r="E7" s="12" t="n"/>
      <c r="F7" s="11">
        <f>D7*E7</f>
        <v/>
      </c>
    </row>
    <row r="8">
      <c r="A8" s="11" t="inlineStr">
        <is>
          <t>nodo simple</t>
        </is>
      </c>
      <c r="B8" s="11" t="inlineStr">
        <is>
          <t>Disco de acrilico de la ventana</t>
        </is>
      </c>
      <c r="C8" s="11" t="inlineStr">
        <is>
          <t>Ø30 x 3</t>
        </is>
      </c>
      <c r="D8" s="11" t="n">
        <v>2</v>
      </c>
      <c r="E8" s="12" t="n"/>
      <c r="F8" s="11">
        <f>D8*E8</f>
        <v/>
      </c>
    </row>
    <row r="9">
      <c r="A9" s="11" t="inlineStr">
        <is>
          <t>nodo simple</t>
        </is>
      </c>
      <c r="B9" s="11" t="inlineStr">
        <is>
          <t>Grillete o argolla de inox (izado)</t>
        </is>
      </c>
      <c r="C9" s="11" t="inlineStr">
        <is>
          <t>M6</t>
        </is>
      </c>
      <c r="D9" s="11" t="n">
        <v>1</v>
      </c>
      <c r="E9" s="12" t="n"/>
      <c r="F9" s="11">
        <f>D9*E9</f>
        <v/>
      </c>
    </row>
    <row r="10">
      <c r="A10" s="11" t="inlineStr">
        <is>
          <t>nodo simple</t>
        </is>
      </c>
      <c r="B10" s="14" t="inlineStr">
        <is>
          <t>Tornillo M4 x 20 + inserto termico M4 (bridas del riel a la caja)</t>
        </is>
      </c>
      <c r="C10" s="11" t="inlineStr">
        <is>
          <t>M4</t>
        </is>
      </c>
      <c r="D10" s="11" t="n">
        <v>8</v>
      </c>
      <c r="E10" s="12" t="n"/>
      <c r="F10" s="11">
        <f>D10*E10</f>
        <v/>
      </c>
    </row>
    <row r="11">
      <c r="A11" s="11" t="inlineStr">
        <is>
          <t>nodo simple</t>
        </is>
      </c>
      <c r="B11" s="11" t="inlineStr">
        <is>
          <t>Tornillo M3 x 8 avellanado + inserto M3 (tapas del bolsillo)</t>
        </is>
      </c>
      <c r="C11" s="11" t="inlineStr">
        <is>
          <t>M3</t>
        </is>
      </c>
      <c r="D11" s="11" t="n">
        <v>4</v>
      </c>
      <c r="E11" s="12" t="n"/>
      <c r="F11" s="11">
        <f>D11*E11</f>
        <v/>
      </c>
    </row>
    <row r="12">
      <c r="A12" s="11" t="inlineStr">
        <is>
          <t>nodo simple</t>
        </is>
      </c>
      <c r="B12" s="11" t="inlineStr">
        <is>
          <t>Tornillo M4 x 45 + tuerca (pie de las capsulas)</t>
        </is>
      </c>
      <c r="C12" s="11" t="inlineStr">
        <is>
          <t>M4</t>
        </is>
      </c>
      <c r="D12" s="11" t="n">
        <v>4</v>
      </c>
      <c r="E12" s="12" t="n"/>
      <c r="F12" s="11">
        <f>D12*E12</f>
        <v/>
      </c>
    </row>
    <row r="13">
      <c r="A13" s="11" t="inlineStr">
        <is>
          <t>nodo simple</t>
        </is>
      </c>
      <c r="B13" s="11" t="inlineStr">
        <is>
          <t>Correa textil</t>
        </is>
      </c>
      <c r="C13" s="11" t="inlineStr">
        <is>
          <t>25 x 300 mm</t>
        </is>
      </c>
      <c r="D13" s="11" t="n">
        <v>2</v>
      </c>
      <c r="E13" s="12" t="n"/>
      <c r="F13" s="11">
        <f>D13*E13</f>
        <v/>
      </c>
    </row>
    <row r="14">
      <c r="A14" s="11" t="inlineStr">
        <is>
          <t>nodo simple</t>
        </is>
      </c>
      <c r="B14" s="11" t="inlineStr">
        <is>
          <t>Pletina de inox</t>
        </is>
      </c>
      <c r="C14" s="11" t="inlineStr">
        <is>
          <t>25 x 5 x 100</t>
        </is>
      </c>
      <c r="D14" s="11" t="n">
        <v>10</v>
      </c>
      <c r="E14" s="12" t="n"/>
      <c r="F14" s="11">
        <f>D14*E14</f>
        <v/>
      </c>
    </row>
    <row r="15">
      <c r="A15" s="11" t="inlineStr">
        <is>
          <t>boya simple</t>
        </is>
      </c>
      <c r="B15" s="11" t="inlineStr">
        <is>
          <t>Tornillo M3 x 12 + inserto M3 (tapa de la boya)</t>
        </is>
      </c>
      <c r="C15" s="11" t="inlineStr">
        <is>
          <t>M3</t>
        </is>
      </c>
      <c r="D15" s="11" t="n">
        <v>16</v>
      </c>
      <c r="E15" s="12" t="n"/>
      <c r="F15" s="11">
        <f>D15*E15</f>
        <v/>
      </c>
    </row>
    <row r="16">
      <c r="A16" s="11" t="inlineStr">
        <is>
          <t>boya simple</t>
        </is>
      </c>
      <c r="B16" s="11" t="inlineStr">
        <is>
          <t>Tornillo M3 + inserto M3 (portabaterias y bandeja)</t>
        </is>
      </c>
      <c r="C16" s="11" t="inlineStr">
        <is>
          <t>M3</t>
        </is>
      </c>
      <c r="D16" s="11" t="n">
        <v>8</v>
      </c>
      <c r="E16" s="12" t="n"/>
      <c r="F16" s="11">
        <f>D16*E16</f>
        <v/>
      </c>
    </row>
    <row r="17">
      <c r="A17" s="11" t="inlineStr">
        <is>
          <t>boya simple</t>
        </is>
      </c>
      <c r="B17" s="11" t="inlineStr">
        <is>
          <t>Tornillo M3 x 30 + inserto M3 (largueros a la tapa)</t>
        </is>
      </c>
      <c r="C17" s="11" t="inlineStr">
        <is>
          <t>M3</t>
        </is>
      </c>
      <c r="D17" s="11" t="n">
        <v>4</v>
      </c>
      <c r="E17" s="12" t="n"/>
      <c r="F17" s="11">
        <f>D17*E17</f>
        <v/>
      </c>
    </row>
    <row r="18">
      <c r="A18" s="11" t="inlineStr">
        <is>
          <t>boya simple</t>
        </is>
      </c>
      <c r="B18" s="11" t="inlineStr">
        <is>
          <t>Tornillo M3 + inserto M3 (panel a los largueros)</t>
        </is>
      </c>
      <c r="C18" s="11" t="inlineStr">
        <is>
          <t>M3</t>
        </is>
      </c>
      <c r="D18" s="11" t="n">
        <v>4</v>
      </c>
      <c r="E18" s="12" t="n"/>
      <c r="F18" s="11">
        <f>D18*E18</f>
        <v/>
      </c>
    </row>
    <row r="19">
      <c r="A19" s="11" t="inlineStr">
        <is>
          <t>boya simple</t>
        </is>
      </c>
      <c r="B19" s="11" t="inlineStr">
        <is>
          <t>Perno M5 x 120 inox + inserto M5 (flotadores)</t>
        </is>
      </c>
      <c r="C19" s="11" t="inlineStr">
        <is>
          <t>M5</t>
        </is>
      </c>
      <c r="D19" s="11" t="n">
        <v>8</v>
      </c>
      <c r="E19" s="12" t="n"/>
      <c r="F19" s="11">
        <f>D19*E19</f>
        <v/>
      </c>
    </row>
    <row r="20">
      <c r="A20" s="11" t="inlineStr">
        <is>
          <t>boya simple</t>
        </is>
      </c>
      <c r="B20" s="11" t="inlineStr">
        <is>
          <t>Tornillo M5 + inserto M5 (ojal de amarre)</t>
        </is>
      </c>
      <c r="C20" s="11" t="inlineStr">
        <is>
          <t>M5</t>
        </is>
      </c>
      <c r="D20" s="11" t="n">
        <v>1</v>
      </c>
      <c r="E20" s="12" t="n"/>
      <c r="F20" s="11">
        <f>D20*E20</f>
        <v/>
      </c>
    </row>
    <row r="21">
      <c r="A21" s="11" t="inlineStr">
        <is>
          <t>boya simple</t>
        </is>
      </c>
      <c r="B21" s="11" t="inlineStr">
        <is>
          <t>Cordon de junta torica Ø2 (tapa de la boya, +10 %)</t>
        </is>
      </c>
      <c r="C21" s="11" t="inlineStr">
        <is>
          <t>900 mm</t>
        </is>
      </c>
      <c r="D21" s="11" t="n">
        <v>1</v>
      </c>
      <c r="E21" s="12" t="n"/>
      <c r="F21" s="11">
        <f>D21*E21</f>
        <v/>
      </c>
    </row>
    <row r="22">
      <c r="A22" s="11" t="inlineStr">
        <is>
          <t>boya simple</t>
        </is>
      </c>
      <c r="B22" s="11" t="inlineStr">
        <is>
          <t>Prensaestopas PG7 (umbilical y panel)</t>
        </is>
      </c>
      <c r="C22" s="11" t="inlineStr">
        <is>
          <t>PG7</t>
        </is>
      </c>
      <c r="D22" s="11" t="n">
        <v>2</v>
      </c>
      <c r="E22" s="12" t="n"/>
      <c r="F22" s="11">
        <f>D22*E22</f>
        <v/>
      </c>
    </row>
    <row r="23">
      <c r="A23" s="11" t="inlineStr">
        <is>
          <t>boya simple</t>
        </is>
      </c>
      <c r="B23" s="14" t="inlineStr">
        <is>
          <t>Tapon de la boca de llenado de los flotadores (o sello con PETG)</t>
        </is>
      </c>
      <c r="C23" s="11" t="inlineStr">
        <is>
          <t>Ø10</t>
        </is>
      </c>
      <c r="D23" s="11" t="n">
        <v>4</v>
      </c>
      <c r="E23" s="12" t="n"/>
      <c r="F23" s="11">
        <f>D23*E23</f>
        <v/>
      </c>
    </row>
    <row r="24">
      <c r="A24" s="11" t="inlineStr">
        <is>
          <t>boya simple</t>
        </is>
      </c>
      <c r="B24" s="11" t="inlineStr">
        <is>
          <t>Manguera flexible U1 de referencia</t>
        </is>
      </c>
      <c r="C24" s="11" t="inlineStr">
        <is>
          <t>Ø10</t>
        </is>
      </c>
      <c r="D24" s="11" t="n">
        <v>1</v>
      </c>
      <c r="E24" s="12" t="n"/>
      <c r="F24" s="11">
        <f>D24*E24</f>
        <v/>
      </c>
    </row>
    <row r="25">
      <c r="A25" s="11" t="inlineStr">
        <is>
          <t>boya simple</t>
        </is>
      </c>
      <c r="B25" s="11" t="inlineStr">
        <is>
          <t>Cabo de amarre C1 boya-linterna</t>
        </is>
      </c>
      <c r="C25" s="11" t="inlineStr">
        <is>
          <t>Ø4</t>
        </is>
      </c>
      <c r="D25" s="11" t="n">
        <v>1</v>
      </c>
      <c r="E25" s="12" t="n"/>
      <c r="F25" s="11">
        <f>D25*E25</f>
        <v/>
      </c>
    </row>
    <row r="26">
      <c r="A26" s="11" t="inlineStr">
        <is>
          <t>modular D200</t>
        </is>
      </c>
      <c r="B26" s="11" t="inlineStr">
        <is>
          <t>Tornillo M3 x 12 + inserto termico M3 (tapa de la caja)</t>
        </is>
      </c>
      <c r="C26" s="11" t="inlineStr">
        <is>
          <t>M3</t>
        </is>
      </c>
      <c r="D26" s="11" t="n">
        <v>12</v>
      </c>
      <c r="E26" s="12" t="n"/>
      <c r="F26" s="11">
        <f>D26*E26</f>
        <v/>
      </c>
    </row>
    <row r="27">
      <c r="A27" s="11" t="inlineStr">
        <is>
          <t>modular D200</t>
        </is>
      </c>
      <c r="B27" s="11" t="inlineStr">
        <is>
          <t>Tornillo M3 x 8 + inserto termico M3 (bandejas)</t>
        </is>
      </c>
      <c r="C27" s="11" t="inlineStr">
        <is>
          <t>M3</t>
        </is>
      </c>
      <c r="D27" s="11" t="n">
        <v>4</v>
      </c>
      <c r="E27" s="12" t="n"/>
      <c r="F27" s="11">
        <f>D27*E27</f>
        <v/>
      </c>
    </row>
    <row r="28">
      <c r="A28" s="11" t="inlineStr">
        <is>
          <t>modular D200</t>
        </is>
      </c>
      <c r="B28" s="11" t="inlineStr">
        <is>
          <t>Tornillo M3 x 16 + tuerca (capsulas)</t>
        </is>
      </c>
      <c r="C28" s="11" t="inlineStr">
        <is>
          <t>M3</t>
        </is>
      </c>
      <c r="D28" s="11" t="n">
        <v>8</v>
      </c>
      <c r="E28" s="12" t="n"/>
      <c r="F28" s="11">
        <f>D28*E28</f>
        <v/>
      </c>
    </row>
    <row r="29">
      <c r="A29" s="11" t="inlineStr">
        <is>
          <t>modular D200</t>
        </is>
      </c>
      <c r="B29" s="11" t="inlineStr">
        <is>
          <t>Tornillo M2 autorroscante (bisel)</t>
        </is>
      </c>
      <c r="C29" s="11" t="inlineStr">
        <is>
          <t>M2 x 6</t>
        </is>
      </c>
      <c r="D29" s="11" t="n">
        <v>6</v>
      </c>
      <c r="E29" s="12" t="n"/>
      <c r="F29" s="11">
        <f>D29*E29</f>
        <v/>
      </c>
    </row>
    <row r="30">
      <c r="A30" s="11" t="inlineStr">
        <is>
          <t>modular D200</t>
        </is>
      </c>
      <c r="B30" s="11" t="inlineStr">
        <is>
          <t>Cordon de junta torica Ø2 (caja + 2 capsulas, +10 %)</t>
        </is>
      </c>
      <c r="C30" s="11" t="inlineStr">
        <is>
          <t>970 mm</t>
        </is>
      </c>
      <c r="D30" s="11" t="n">
        <v>1</v>
      </c>
      <c r="E30" s="12" t="n"/>
      <c r="F30" s="11">
        <f>D30*E30</f>
        <v/>
      </c>
    </row>
    <row r="31">
      <c r="A31" s="11" t="inlineStr">
        <is>
          <t>modular D200</t>
        </is>
      </c>
      <c r="B31" s="11" t="inlineStr">
        <is>
          <t>Prensaestopas PG7 con contratuerca (3 caja + 2 capsulas)</t>
        </is>
      </c>
      <c r="C31" s="11" t="inlineStr">
        <is>
          <t>PG7</t>
        </is>
      </c>
      <c r="D31" s="11" t="n">
        <v>5</v>
      </c>
      <c r="E31" s="12" t="n"/>
      <c r="F31" s="11">
        <f>D31*E31</f>
        <v/>
      </c>
    </row>
    <row r="32">
      <c r="A32" s="11" t="inlineStr">
        <is>
          <t>modular D200</t>
        </is>
      </c>
      <c r="B32" s="11" t="inlineStr">
        <is>
          <t>Disco de acrilico de la ventana</t>
        </is>
      </c>
      <c r="C32" s="11" t="inlineStr">
        <is>
          <t>Ø30 x 3</t>
        </is>
      </c>
      <c r="D32" s="11" t="n">
        <v>2</v>
      </c>
      <c r="E32" s="12" t="n"/>
      <c r="F32" s="11">
        <f>D32*E32</f>
        <v/>
      </c>
    </row>
    <row r="33">
      <c r="A33" s="11" t="inlineStr">
        <is>
          <t>modular D200</t>
        </is>
      </c>
      <c r="B33" s="11" t="inlineStr">
        <is>
          <t>Grillete o argolla de inox (izado)</t>
        </is>
      </c>
      <c r="C33" s="11" t="inlineStr">
        <is>
          <t>M6</t>
        </is>
      </c>
      <c r="D33" s="11" t="n">
        <v>1</v>
      </c>
      <c r="E33" s="12" t="n"/>
      <c r="F33" s="11">
        <f>D33*E33</f>
        <v/>
      </c>
    </row>
    <row r="34">
      <c r="A34" s="11" t="inlineStr">
        <is>
          <t>modular D200</t>
        </is>
      </c>
      <c r="B34" s="11" t="inlineStr">
        <is>
          <t>Tornillo M4 x 12 + inserto termico M4 (riel a la caja)</t>
        </is>
      </c>
      <c r="C34" s="11" t="inlineStr">
        <is>
          <t>M4</t>
        </is>
      </c>
      <c r="D34" s="11" t="n">
        <v>4</v>
      </c>
      <c r="E34" s="12" t="n"/>
      <c r="F34" s="11">
        <f>D34*E34</f>
        <v/>
      </c>
    </row>
    <row r="35">
      <c r="A35" s="11" t="inlineStr">
        <is>
          <t>modular D200</t>
        </is>
      </c>
      <c r="B35" s="11" t="inlineStr">
        <is>
          <t>Varilla roscada M8 (8.8)</t>
        </is>
      </c>
      <c r="C35" s="11" t="inlineStr">
        <is>
          <t>451 mm</t>
        </is>
      </c>
      <c r="D35" s="11" t="n">
        <v>1</v>
      </c>
      <c r="E35" s="12" t="n"/>
      <c r="F35" s="11">
        <f>D35*E35</f>
        <v/>
      </c>
    </row>
    <row r="36">
      <c r="A36" s="11" t="inlineStr">
        <is>
          <t>modular D200</t>
        </is>
      </c>
      <c r="B36" s="11" t="inlineStr">
        <is>
          <t>Tuerca M8</t>
        </is>
      </c>
      <c r="C36" s="11" t="inlineStr">
        <is>
          <t>M8</t>
        </is>
      </c>
      <c r="D36" s="11" t="n">
        <v>2</v>
      </c>
      <c r="E36" s="12" t="n"/>
      <c r="F36" s="11">
        <f>D36*E36</f>
        <v/>
      </c>
    </row>
    <row r="37">
      <c r="A37" s="11" t="inlineStr">
        <is>
          <t>modular D200</t>
        </is>
      </c>
      <c r="B37" s="11" t="inlineStr">
        <is>
          <t>Arandela ancha DIN 9021</t>
        </is>
      </c>
      <c r="C37" s="11" t="inlineStr">
        <is>
          <t>M8</t>
        </is>
      </c>
      <c r="D37" s="11" t="n">
        <v>2</v>
      </c>
      <c r="E37" s="12" t="n"/>
      <c r="F37" s="11">
        <f>D37*E37</f>
        <v/>
      </c>
    </row>
    <row r="38">
      <c r="A38" s="11" t="inlineStr">
        <is>
          <t>modular D200</t>
        </is>
      </c>
      <c r="B38" s="11" t="inlineStr">
        <is>
          <t>Tornillo M4 x 14 + tuerca (uniones de tramos)</t>
        </is>
      </c>
      <c r="C38" s="11" t="inlineStr">
        <is>
          <t>M4</t>
        </is>
      </c>
      <c r="D38" s="11" t="n">
        <v>8</v>
      </c>
      <c r="E38" s="12" t="n"/>
      <c r="F38" s="11">
        <f>D38*E38</f>
        <v/>
      </c>
    </row>
    <row r="39">
      <c r="A39" s="11" t="inlineStr">
        <is>
          <t>modular D200</t>
        </is>
      </c>
      <c r="B39" s="11" t="inlineStr">
        <is>
          <t>Tornillo M3 x 8 avellanado + inserto M3 (tapa del bolsillo)</t>
        </is>
      </c>
      <c r="C39" s="11" t="inlineStr">
        <is>
          <t>M3</t>
        </is>
      </c>
      <c r="D39" s="11" t="n">
        <v>4</v>
      </c>
      <c r="E39" s="12" t="n"/>
      <c r="F39" s="11">
        <f>D39*E39</f>
        <v/>
      </c>
    </row>
    <row r="40">
      <c r="A40" s="11" t="inlineStr">
        <is>
          <t>modular D200</t>
        </is>
      </c>
      <c r="B40" s="11" t="inlineStr">
        <is>
          <t>Perno M4 hexagonal (perillas) + tuerca en la ranura T</t>
        </is>
      </c>
      <c r="C40" s="11" t="inlineStr">
        <is>
          <t>M4</t>
        </is>
      </c>
      <c r="D40" s="11" t="n">
        <v>4</v>
      </c>
      <c r="E40" s="12" t="n"/>
      <c r="F40" s="11">
        <f>D40*E40</f>
        <v/>
      </c>
    </row>
    <row r="41">
      <c r="A41" s="11" t="inlineStr">
        <is>
          <t>modular D200</t>
        </is>
      </c>
      <c r="B41" s="11" t="inlineStr">
        <is>
          <t>Perno M4 x 20 + tuerca mariposa (bisagras)</t>
        </is>
      </c>
      <c r="C41" s="11" t="inlineStr">
        <is>
          <t>M4</t>
        </is>
      </c>
      <c r="D41" s="11" t="n">
        <v>2</v>
      </c>
      <c r="E41" s="12" t="n"/>
      <c r="F41" s="11">
        <f>D41*E41</f>
        <v/>
      </c>
    </row>
    <row r="42">
      <c r="A42" s="11" t="inlineStr">
        <is>
          <t>modular D200</t>
        </is>
      </c>
      <c r="B42" s="11" t="inlineStr">
        <is>
          <t>Pivote M3 del pestillo</t>
        </is>
      </c>
      <c r="C42" s="11" t="inlineStr">
        <is>
          <t>M3</t>
        </is>
      </c>
      <c r="D42" s="11" t="n">
        <v>2</v>
      </c>
      <c r="E42" s="12" t="n"/>
      <c r="F42" s="11">
        <f>D42*E42</f>
        <v/>
      </c>
    </row>
    <row r="43">
      <c r="A43" s="11" t="inlineStr">
        <is>
          <t>modular D200</t>
        </is>
      </c>
      <c r="B43" s="11" t="inlineStr">
        <is>
          <t>Correa textil</t>
        </is>
      </c>
      <c r="C43" s="11" t="inlineStr">
        <is>
          <t>25 x 300 mm</t>
        </is>
      </c>
      <c r="D43" s="11" t="n">
        <v>2</v>
      </c>
      <c r="E43" s="12" t="n"/>
      <c r="F43" s="11">
        <f>D43*E43</f>
        <v/>
      </c>
    </row>
    <row r="44">
      <c r="A44" s="11" t="inlineStr">
        <is>
          <t>modular D200</t>
        </is>
      </c>
      <c r="B44" s="11" t="inlineStr">
        <is>
          <t>Pletina de inox</t>
        </is>
      </c>
      <c r="C44" s="11" t="inlineStr">
        <is>
          <t>25 x 5 x 100</t>
        </is>
      </c>
      <c r="D44" s="11" t="n">
        <v>4</v>
      </c>
      <c r="E44" s="12" t="n"/>
      <c r="F44" s="11">
        <f>D44*E44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3" customWidth="1" min="3" max="3"/>
    <col width="57" customWidth="1" min="4" max="4"/>
  </cols>
  <sheetData>
    <row r="1">
      <c r="A1" s="13" t="inlineStr">
        <is>
          <t>concepto</t>
        </is>
      </c>
      <c r="B1" s="13" t="inlineStr">
        <is>
          <t>valor</t>
        </is>
      </c>
      <c r="C1" s="13" t="inlineStr">
        <is>
          <t>unidad</t>
        </is>
      </c>
      <c r="D1" s="13" t="inlineStr">
        <is>
          <t>de donde sale</t>
        </is>
      </c>
    </row>
    <row r="2">
      <c r="A2" s="11" t="inlineStr">
        <is>
          <t>Riel: largo / seccion x pared</t>
        </is>
      </c>
      <c r="B2" s="11" t="inlineStr">
        <is>
          <t>430 / 30 x 4</t>
        </is>
      </c>
      <c r="C2" s="11" t="inlineStr">
        <is>
          <t>mm</t>
        </is>
      </c>
      <c r="D2" s="11" t="inlineStr">
        <is>
          <t>params.py simple.riel_L, riel.*</t>
        </is>
      </c>
    </row>
    <row r="3">
      <c r="A3" s="11" t="inlineStr">
        <is>
          <t>Caja: ESP32 y pisos</t>
        </is>
      </c>
      <c r="B3" s="11" t="inlineStr">
        <is>
          <t>kit_a, 2 pisos</t>
        </is>
      </c>
      <c r="C3" s="11" t="inlineStr">
        <is>
          <t>-</t>
        </is>
      </c>
      <c r="D3" s="11" t="inlineStr">
        <is>
          <t>params.py simple.esp32_base (equipo), simple.caja_pisos</t>
        </is>
      </c>
    </row>
    <row r="4">
      <c r="A4" s="11" t="inlineStr">
        <is>
          <t>Caja: exterior (sin brida)</t>
        </is>
      </c>
      <c r="B4" s="11" t="inlineStr">
        <is>
          <t>127.0 x 126.0 x 77.0</t>
        </is>
      </c>
      <c r="C4" s="11" t="inlineStr">
        <is>
          <t>mm</t>
        </is>
      </c>
      <c r="D4" s="11" t="inlineStr">
        <is>
          <t>layout.py (derivado de la electronica)</t>
        </is>
      </c>
    </row>
    <row r="5">
      <c r="A5" s="11" t="inlineStr">
        <is>
          <t>Caja: con brida</t>
        </is>
      </c>
      <c r="B5" s="11" t="inlineStr">
        <is>
          <t>147.0 x 146.0</t>
        </is>
      </c>
      <c r="C5" s="11" t="inlineStr">
        <is>
          <t>mm</t>
        </is>
      </c>
      <c r="D5" s="11" t="inlineStr">
        <is>
          <t>layout.py + caja.brida_ancho</t>
        </is>
      </c>
    </row>
    <row r="6">
      <c r="A6" s="11" t="inlineStr">
        <is>
          <t>Caja: interior (cavidad)</t>
        </is>
      </c>
      <c r="B6" s="11" t="inlineStr">
        <is>
          <t>119.0 x 118.0 x 73.0</t>
        </is>
      </c>
      <c r="C6" s="11" t="inlineStr">
        <is>
          <t>mm</t>
        </is>
      </c>
      <c r="D6" s="11" t="inlineStr">
        <is>
          <t>layout.py</t>
        </is>
      </c>
    </row>
    <row r="7">
      <c r="A7" s="11" t="inlineStr">
        <is>
          <t>Caja: pared / fondo</t>
        </is>
      </c>
      <c r="B7" s="11" t="inlineStr">
        <is>
          <t>4 / 4</t>
        </is>
      </c>
      <c r="C7" s="11" t="inlineStr">
        <is>
          <t>mm</t>
        </is>
      </c>
      <c r="D7" s="11" t="inlineStr">
        <is>
          <t>params.py caja.pared, caja.fondo</t>
        </is>
      </c>
    </row>
    <row r="8">
      <c r="A8" s="11" t="inlineStr">
        <is>
          <t>Nodo sobre el aro (de / a)</t>
        </is>
      </c>
      <c r="B8" s="11" t="inlineStr">
        <is>
          <t>-40 / 181</t>
        </is>
      </c>
      <c r="C8" s="11" t="inlineStr">
        <is>
          <t>mm</t>
        </is>
      </c>
      <c r="D8" s="11" t="inlineStr">
        <is>
          <t>simple.py, nube de puntos del CAD</t>
        </is>
      </c>
    </row>
    <row r="9">
      <c r="A9" s="11" t="inlineStr">
        <is>
          <t>Capsula: exterior</t>
        </is>
      </c>
      <c r="B9" s="11" t="inlineStr">
        <is>
          <t>44.0 x 46.0 x 46.0</t>
        </is>
      </c>
      <c r="C9" s="11" t="inlineStr">
        <is>
          <t>mm</t>
        </is>
      </c>
      <c r="D9" s="11" t="inlineStr">
        <is>
          <t>capsula.py cap_dims</t>
        </is>
      </c>
    </row>
    <row r="10">
      <c r="A10" s="11" t="inlineStr">
        <is>
          <t>Capsula: angulo y acimut</t>
        </is>
      </c>
      <c r="B10" s="11" t="inlineStr">
        <is>
          <t>30 grados, adentro</t>
        </is>
      </c>
      <c r="C10" s="11" t="inlineStr">
        <is>
          <t>-</t>
        </is>
      </c>
      <c r="D10" s="11" t="inlineStr">
        <is>
          <t>params.py capsula.angulo, capsula.acimut (equipo)</t>
        </is>
      </c>
    </row>
    <row r="11">
      <c r="A11" s="11" t="inlineStr">
        <is>
          <t>Ventana: diametro x espesor</t>
        </is>
      </c>
      <c r="B11" s="11" t="inlineStr">
        <is>
          <t>30 x 3</t>
        </is>
      </c>
      <c r="C11" s="11" t="inlineStr">
        <is>
          <t>mm</t>
        </is>
      </c>
      <c r="D11" s="11" t="inlineStr">
        <is>
          <t>params.py ventana.*</t>
        </is>
      </c>
    </row>
    <row r="12">
      <c r="A12" s="14" t="inlineStr">
        <is>
          <t>Gancho en C (fusionado al riel): C interior / pared / asiento</t>
        </is>
      </c>
      <c r="B12" s="11" t="inlineStr">
        <is>
          <t>8.8 / 4 / 12</t>
        </is>
      </c>
      <c r="C12" s="11" t="inlineStr">
        <is>
          <t>mm</t>
        </is>
      </c>
      <c r="D12" s="11" t="inlineStr">
        <is>
          <t>params.py aro.seccion, gancho.c</t>
        </is>
      </c>
    </row>
    <row r="13">
      <c r="A13" s="11" t="inlineStr">
        <is>
          <t>Separador LR1: tipo, seccion, altura (minima)</t>
        </is>
      </c>
      <c r="B13" s="11" t="inlineStr">
        <is>
          <t>aro, 12 x 6, 140 (136)</t>
        </is>
      </c>
      <c r="C13" s="11" t="inlineStr">
        <is>
          <t>mm</t>
        </is>
      </c>
      <c r="D13" s="11" t="inlineStr">
        <is>
          <t>params.py separador.*, simple.py</t>
        </is>
      </c>
    </row>
    <row r="14">
      <c r="A14" s="11" t="inlineStr">
        <is>
          <t>Pletinas de lastre</t>
        </is>
      </c>
      <c r="B14" s="11" t="inlineStr">
        <is>
          <t>5 x 2 de 25 x 5 x 100</t>
        </is>
      </c>
      <c r="C14" s="11" t="inlineStr">
        <is>
          <t>mm</t>
        </is>
      </c>
      <c r="D14" s="11" t="inlineStr">
        <is>
          <t>params.py lastre.pletinas</t>
        </is>
      </c>
    </row>
    <row r="15">
      <c r="A15" s="11" t="inlineStr">
        <is>
          <t>Nodo: peso en aire (bandeja 40 % / 100 %)</t>
        </is>
      </c>
      <c r="B15" s="11" t="inlineStr">
        <is>
          <t>2450 / 2458</t>
        </is>
      </c>
      <c r="C15" s="11" t="inlineStr">
        <is>
          <t>g</t>
        </is>
      </c>
      <c r="D15" s="11" t="inlineStr">
        <is>
          <t>simple.py, masas por pieza con su relleno</t>
        </is>
      </c>
    </row>
    <row r="16">
      <c r="A16" s="11" t="inlineStr">
        <is>
          <t>Nodo: peso aparente (40 % / 100 %)</t>
        </is>
      </c>
      <c r="B16" s="11" t="inlineStr">
        <is>
          <t>+203 / +211</t>
        </is>
      </c>
      <c r="C16" s="11" t="inlineStr">
        <is>
          <t>g</t>
        </is>
      </c>
      <c r="D16" s="11" t="inlineStr">
        <is>
          <t>simple.py (ventana +200 a +500)</t>
        </is>
      </c>
    </row>
    <row r="17">
      <c r="A17" s="11" t="inlineStr">
        <is>
          <t>Nodo: BG</t>
        </is>
      </c>
      <c r="B17" s="11" t="inlineStr">
        <is>
          <t>18.3</t>
        </is>
      </c>
      <c r="C17" s="11" t="inlineStr">
        <is>
          <t>mm</t>
        </is>
      </c>
      <c r="D17" s="11" t="inlineStr">
        <is>
          <t>simple.py</t>
        </is>
      </c>
    </row>
    <row r="18">
      <c r="A18" s="11" t="inlineStr">
        <is>
          <t>Apice sobre el aro</t>
        </is>
      </c>
      <c r="B18" s="11" t="inlineStr">
        <is>
          <t>290</t>
        </is>
      </c>
      <c r="C18" s="11" t="inlineStr">
        <is>
          <t>mm</t>
        </is>
      </c>
      <c r="D18" s="11" t="inlineStr">
        <is>
          <t>separador.altura + apice.altura</t>
        </is>
      </c>
    </row>
    <row r="19">
      <c r="A19" s="11" t="inlineStr">
        <is>
          <t>Aire minimo suspension-nodo</t>
        </is>
      </c>
      <c r="B19" s="11" t="inlineStr">
        <is>
          <t>11.6</t>
        </is>
      </c>
      <c r="C19" s="11" t="inlineStr">
        <is>
          <t>mm</t>
        </is>
      </c>
      <c r="D19" s="11" t="inlineStr">
        <is>
          <t>simple.py (exigido 10)</t>
        </is>
      </c>
    </row>
    <row r="20">
      <c r="A20" s="11" t="inlineStr">
        <is>
          <t>FS riel (capas / entre capas)</t>
        </is>
      </c>
      <c r="B20" s="11" t="inlineStr">
        <is>
          <t>19.3 / 9.4</t>
        </is>
      </c>
      <c r="C20" s="11" t="inlineStr">
        <is>
          <t>-</t>
        </is>
      </c>
      <c r="D20" s="11" t="inlineStr">
        <is>
          <t>simple.py §5, a mano</t>
        </is>
      </c>
    </row>
    <row r="21">
      <c r="A21" s="11" t="inlineStr">
        <is>
          <t>FS pie de capsula (capas / entre capas)</t>
        </is>
      </c>
      <c r="B21" s="11" t="inlineStr">
        <is>
          <t>4.2 / 2.1</t>
        </is>
      </c>
      <c r="C21" s="11" t="inlineStr">
        <is>
          <t>-</t>
        </is>
      </c>
      <c r="D21" s="11" t="inlineStr">
        <is>
          <t>simple.py §5, a mano</t>
        </is>
      </c>
    </row>
    <row r="22">
      <c r="A22" s="11" t="inlineStr">
        <is>
          <t>FS gancho (capas / entre capas)</t>
        </is>
      </c>
      <c r="B22" s="11" t="inlineStr">
        <is>
          <t>6.0 / 2.9</t>
        </is>
      </c>
      <c r="C22" s="11" t="inlineStr">
        <is>
          <t>-</t>
        </is>
      </c>
      <c r="D22" s="11" t="inlineStr">
        <is>
          <t>simple.py §5, a mano</t>
        </is>
      </c>
    </row>
    <row r="23">
      <c r="A23" s="11" t="inlineStr">
        <is>
          <t>Traccion por inserto M4 de las bridas al izar</t>
        </is>
      </c>
      <c r="B23" s="11" t="inlineStr">
        <is>
          <t>324</t>
        </is>
      </c>
      <c r="C23" s="11" t="inlineStr">
        <is>
          <t>N</t>
        </is>
      </c>
      <c r="D23" s="11" t="inlineStr">
        <is>
          <t>simple.py §5 (probar con PB8)</t>
        </is>
      </c>
    </row>
    <row r="24">
      <c r="A24" s="11" t="inlineStr">
        <is>
          <t>Cable por camara</t>
        </is>
      </c>
      <c r="B24" s="11" t="inlineStr">
        <is>
          <t>381</t>
        </is>
      </c>
      <c r="C24" s="11" t="inlineStr">
        <is>
          <t>mm</t>
        </is>
      </c>
      <c r="D24" s="11" t="inlineStr">
        <is>
          <t>simple.py §6 (&gt; 300: prueba SPI)</t>
        </is>
      </c>
    </row>
    <row r="25">
      <c r="A25" s="11" t="inlineStr">
        <is>
          <t>Boya: masa / calado / francobordo</t>
        </is>
      </c>
      <c r="B25" s="11" t="inlineStr">
        <is>
          <t>2705 / 31.6 / 88.4</t>
        </is>
      </c>
      <c r="C25" s="11" t="inlineStr">
        <is>
          <t>g / mm / mm</t>
        </is>
      </c>
      <c r="D25" s="11" t="inlineStr">
        <is>
          <t>boya_simple.py (agua de mar 1025)</t>
        </is>
      </c>
    </row>
    <row r="26">
      <c r="A26" s="11" t="inlineStr">
        <is>
          <t>Boya: reserva / GM balanceo y cabeceo</t>
        </is>
      </c>
      <c r="B26" s="11" t="inlineStr">
        <is>
          <t>194 % / 92 y 467</t>
        </is>
      </c>
      <c r="C26" s="11" t="inlineStr">
        <is>
          <t>- / mm</t>
        </is>
      </c>
      <c r="D26" s="11" t="inlineStr">
        <is>
          <t>boya_simple.py</t>
        </is>
      </c>
    </row>
    <row r="27">
      <c r="A27" s="11" t="inlineStr">
        <is>
          <t>Nodo + boya en aire (limite 3000)</t>
        </is>
      </c>
      <c r="B27" s="11" t="inlineStr">
        <is>
          <t>5155</t>
        </is>
      </c>
      <c r="C27" s="11" t="inlineStr">
        <is>
          <t>g</t>
        </is>
      </c>
      <c r="D27" s="11" t="inlineStr">
        <is>
          <t>simple.py + boya_simple.py</t>
        </is>
      </c>
    </row>
    <row r="28">
      <c r="A28" s="11" t="inlineStr">
        <is>
          <t>Camara en Ø200: lente a la red</t>
        </is>
      </c>
      <c r="B28" s="11" t="inlineStr">
        <is>
          <t>34</t>
        </is>
      </c>
      <c r="C28" s="11" t="inlineStr">
        <is>
          <t>mm</t>
        </is>
      </c>
      <c r="D28" s="11" t="inlineStr">
        <is>
          <t>simple.py camera_view (FOV y enfoque estimados)</t>
        </is>
      </c>
    </row>
    <row r="29">
      <c r="A29" s="11" t="inlineStr">
        <is>
          <t>Camara en Ø500: lente a la red</t>
        </is>
      </c>
      <c r="B29" s="11" t="inlineStr">
        <is>
          <t>no corta la red</t>
        </is>
      </c>
      <c r="C29" s="11" t="inlineStr">
        <is>
          <t>mm</t>
        </is>
      </c>
      <c r="D29" s="11" t="inlineStr">
        <is>
          <t>simple.py camera_view (FOV y enfoque estimados)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5" t="inlineStr">
        <is>
          <t>LanternGuard | Hoja de medidas para el CAD</t>
        </is>
      </c>
    </row>
    <row r="2">
      <c r="A2" s="14" t="inlineStr"/>
    </row>
    <row r="3">
      <c r="A3" s="15" t="inlineStr">
        <is>
          <t>Cómo llenarla (elige una):</t>
        </is>
      </c>
    </row>
    <row r="4">
      <c r="A4" s="14" t="inlineStr">
        <is>
          <t>A) A mano: en la pestaña MEDIDAS llena solo las celdas amarillas (valor, origen, estado, quien, fecha). No cambies los nombres de la columna parametro: el script los lee tal cual.</t>
        </is>
      </c>
    </row>
    <row r="5">
      <c r="A5" s="14" t="inlineStr">
        <is>
          <t>B) Con ChatGPT: sube este archivo a ChatGPT, pega el texto de abajo y luego dicta o escribe tus medidas (o sube fotos del calibrador). Te devuelve el mismo Excel lleno; descárgalo y mándaselo a Yoichi.</t>
        </is>
      </c>
    </row>
    <row r="6">
      <c r="A6" s="14" t="inlineStr"/>
    </row>
    <row r="7">
      <c r="A7" s="15" t="inlineStr">
        <is>
          <t>TEXTO PARA PEGAR EN CHATGPT:</t>
        </is>
      </c>
    </row>
    <row r="8">
      <c r="A8" s="14" t="inlineStr">
        <is>
          <t>Te subo el Excel "LanternGuard_MEDIDAS.xlsx". Tu trabajo es llenar la pestaña MEDIDAS con las medidas que te voy a dar, sin cambiar nada más.
Reglas:
1. Solo escribe en las columnas valor, origen, estado, quien y fecha. No toques parametro, descripcion, como_medir ni unidad, y no agregues ni borres filas.
2. Lee descripcion y como_medir para saber a qué fila corresponde cada medida que te doy. Si no estás seguro, pregúntame antes de escribir.
3. Unidades: todo en mm salvo que la columna unidad diga otra cosa. Si te doy centímetros, conviértelos. Decimales con punto.
4. origen: "medido" si lo medí con calibrador o cinta; "fabricante" si lo saqué de la ficha técnica o la boleta; "estimado" si es a ojo.
5. estado: "confirmado" solo si origen es medido o fabricante. Si es estimado, "por_verificar".
6. quien: mi nombre. fecha: la de hoy, formato AAAA-MM-DD.
7. Si te doy un rango (ej. "entre 7.8 y 8.1"), pon el promedio y estado por_verificar.
8. Las filas que no te dé, déjalas vacías. Al final dime la lista de parámetros que quedaron sin llenar.
9. Devuélveme el mismo archivo Excel lleno, con el mismo nombre y las mismas pestañas.
Mi nombre es: ___
Medidas:</t>
        </is>
      </c>
    </row>
    <row r="9">
      <c r="A9" s="14" t="inlineStr"/>
    </row>
    <row r="10">
      <c r="A10" s="15" t="inlineStr">
        <is>
          <t>Columnas:</t>
        </is>
      </c>
    </row>
    <row r="11">
      <c r="A11" s="14" t="inlineStr">
        <is>
          <t>parametro: nombre exacto que usa el script del CAD (no cambiar). descripcion: qué es. como_medir: cómo tomar la medida. unidad: mm o texto. valor: lo que mediste. origen: medido / fabricante / estimado. estado: confirmado / por_verificar. quien: quién midió. fecha: cuándo.</t>
        </is>
      </c>
    </row>
    <row r="12">
      <c r="A12" s="14" t="inlineStr"/>
    </row>
    <row r="13">
      <c r="A13" s="15" t="inlineStr">
        <is>
          <t>Consejos:</t>
        </is>
      </c>
    </row>
    <row r="14">
      <c r="A14" s="14" t="inlineStr">
        <is>
          <t>Mide 3 veces y anota el promedio. Para diámetros interiores usa las puntas de atrás del calibrador. Para el aro de la linterna mide en dos direcciones (puede estar ovalado); si difieren más de 5 mm anota el promedio con estado por_verificar. Una foto del calibrador mostrando la lectura vale más que la memoria.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60" customWidth="1" min="3" max="3"/>
    <col width="10" customWidth="1" min="4" max="4"/>
    <col width="15" customWidth="1" min="5" max="5"/>
    <col width="12" customWidth="1" min="6" max="6"/>
    <col width="15" customWidth="1" min="7" max="7"/>
    <col width="10" customWidth="1" min="8" max="8"/>
    <col width="12" customWidth="1" min="9" max="9"/>
    <col width="26" customWidth="1" min="10" max="10"/>
    <col width="60" customWidth="1" min="11" max="11"/>
  </cols>
  <sheetData>
    <row r="1">
      <c r="A1" s="16" t="inlineStr">
        <is>
          <t>parametro</t>
        </is>
      </c>
      <c r="B1" s="16" t="inlineStr">
        <is>
          <t>descripcion</t>
        </is>
      </c>
      <c r="C1" s="16" t="inlineStr">
        <is>
          <t>como_medir</t>
        </is>
      </c>
      <c r="D1" s="16" t="inlineStr">
        <is>
          <t>unidad</t>
        </is>
      </c>
      <c r="E1" s="16" t="inlineStr">
        <is>
          <t>valor</t>
        </is>
      </c>
      <c r="F1" s="16" t="inlineStr">
        <is>
          <t>origen</t>
        </is>
      </c>
      <c r="G1" s="16" t="inlineStr">
        <is>
          <t>estado</t>
        </is>
      </c>
      <c r="H1" s="16" t="inlineStr">
        <is>
          <t>quien</t>
        </is>
      </c>
      <c r="I1" s="16" t="inlineStr">
        <is>
          <t>fecha</t>
        </is>
      </c>
      <c r="J1" s="13" t="inlineStr">
        <is>
          <t>nombre_en_params</t>
        </is>
      </c>
      <c r="K1" s="13" t="inlineStr">
        <is>
          <t>nota</t>
        </is>
      </c>
    </row>
    <row r="2">
      <c r="A2" s="17" t="inlineStr">
        <is>
          <t>EJEMPLO (ignorar)</t>
        </is>
      </c>
      <c r="B2" s="17" t="inlineStr">
        <is>
          <t>Ejemplo de fila bien llenada</t>
        </is>
      </c>
      <c r="C2" s="17" t="inlineStr"/>
      <c r="D2" s="17" t="inlineStr">
        <is>
          <t>mm</t>
        </is>
      </c>
      <c r="E2" s="17" t="n">
        <v>7.9</v>
      </c>
      <c r="F2" s="17" t="inlineStr">
        <is>
          <t>medido</t>
        </is>
      </c>
      <c r="G2" s="17" t="inlineStr">
        <is>
          <t>confirmado</t>
        </is>
      </c>
      <c r="H2" s="17" t="inlineStr">
        <is>
          <t>Gabi</t>
        </is>
      </c>
      <c r="I2" s="17" t="inlineStr">
        <is>
          <t>2026-10-29</t>
        </is>
      </c>
      <c r="J2" s="11" t="n"/>
      <c r="K2" s="11" t="n"/>
    </row>
    <row r="3">
      <c r="A3" s="18" t="inlineStr">
        <is>
          <t>ARO DE LA LINTERNA</t>
        </is>
      </c>
      <c r="B3" s="19" t="n"/>
      <c r="C3" s="19" t="n"/>
      <c r="D3" s="19" t="n"/>
      <c r="E3" s="19" t="n"/>
      <c r="F3" s="19" t="n"/>
      <c r="G3" s="19" t="n"/>
      <c r="H3" s="19" t="n"/>
      <c r="I3" s="20" t="n"/>
      <c r="J3" s="11" t="n"/>
      <c r="K3" s="11" t="n"/>
    </row>
    <row r="4" ht="30" customHeight="1">
      <c r="A4" s="21" t="inlineStr">
        <is>
          <t>aro.diametro</t>
        </is>
      </c>
      <c r="B4" s="21" t="inlineStr">
        <is>
          <t>Diámetro del aro superior de la linterna, medido al centro del tubo</t>
        </is>
      </c>
      <c r="C4" s="21" t="inlineStr">
        <is>
          <t>Cinta métrica de borde a borde pasando por el centro, restar un espesor de tubo</t>
        </is>
      </c>
      <c r="D4" s="21" t="inlineStr">
        <is>
          <t>mm</t>
        </is>
      </c>
      <c r="E4" s="22" t="n">
        <v>200</v>
      </c>
      <c r="F4" s="22" t="inlineStr">
        <is>
          <t>equipo</t>
        </is>
      </c>
      <c r="G4" s="22" t="inlineStr">
        <is>
          <t>confirmado</t>
        </is>
      </c>
      <c r="H4" s="22" t="inlineStr">
        <is>
          <t>CAD</t>
        </is>
      </c>
      <c r="I4" s="22" t="inlineStr">
        <is>
          <t>2026-10-29</t>
        </is>
      </c>
      <c r="J4" s="11" t="inlineStr">
        <is>
          <t>simple.aro_D</t>
        </is>
      </c>
      <c r="K4" s="11" t="inlineStr"/>
    </row>
    <row r="5" ht="30" customHeight="1">
      <c r="A5" s="21" t="inlineStr">
        <is>
          <t>aro.seccion</t>
        </is>
      </c>
      <c r="B5" s="21" t="inlineStr">
        <is>
          <t>Espesor del tubo o alambre del aro</t>
        </is>
      </c>
      <c r="C5" s="21" t="inlineStr">
        <is>
          <t>Calibrador cerrado sobre el tubo, en 3 puntos distintos, anotar el promedio</t>
        </is>
      </c>
      <c r="D5" s="21" t="inlineStr">
        <is>
          <t>mm</t>
        </is>
      </c>
      <c r="E5" s="22" t="n">
        <v>8</v>
      </c>
      <c r="F5" s="22" t="inlineStr">
        <is>
          <t>estimado</t>
        </is>
      </c>
      <c r="G5" s="22" t="inlineStr">
        <is>
          <t>por_verificar</t>
        </is>
      </c>
      <c r="H5" s="22" t="inlineStr">
        <is>
          <t>CAD</t>
        </is>
      </c>
      <c r="I5" s="22" t="inlineStr">
        <is>
          <t>2026-10-29</t>
        </is>
      </c>
      <c r="J5" s="11" t="inlineStr">
        <is>
          <t>aro.seccion</t>
        </is>
      </c>
      <c r="K5" s="11" t="inlineStr"/>
    </row>
    <row r="6" ht="30" customHeight="1">
      <c r="A6" s="21" t="inlineStr">
        <is>
          <t>linterna.altura</t>
        </is>
      </c>
      <c r="B6" s="21" t="inlineStr">
        <is>
          <t>Altura total de la linterna de prueba (del aro superior a la base)</t>
        </is>
      </c>
      <c r="C6" s="21" t="inlineStr">
        <is>
          <t>Cinta métrica con la linterna colgada</t>
        </is>
      </c>
      <c r="D6" s="21" t="inlineStr">
        <is>
          <t>mm</t>
        </is>
      </c>
      <c r="E6" s="22" t="n">
        <v>200</v>
      </c>
      <c r="F6" s="22" t="inlineStr">
        <is>
          <t>estimado</t>
        </is>
      </c>
      <c r="G6" s="22" t="inlineStr">
        <is>
          <t>por_verificar</t>
        </is>
      </c>
      <c r="H6" s="22" t="inlineStr">
        <is>
          <t>CAD</t>
        </is>
      </c>
      <c r="I6" s="22" t="inlineStr">
        <is>
          <t>2026-10-29</t>
        </is>
      </c>
      <c r="J6" s="11" t="inlineStr">
        <is>
          <t>linterna.alto</t>
        </is>
      </c>
      <c r="K6" s="11" t="inlineStr">
        <is>
          <t>alto de la red de la linterna de referencia</t>
        </is>
      </c>
    </row>
    <row r="7" ht="30" customHeight="1">
      <c r="A7" s="21" t="inlineStr">
        <is>
          <t>linterna.pisos</t>
        </is>
      </c>
      <c r="B7" s="21" t="inlineStr">
        <is>
          <t>Cantidad de pisos de la linterna de prueba</t>
        </is>
      </c>
      <c r="C7" s="21" t="inlineStr">
        <is>
          <t>Contar</t>
        </is>
      </c>
      <c r="D7" s="21" t="inlineStr">
        <is>
          <t>unidades</t>
        </is>
      </c>
      <c r="E7" s="22" t="n">
        <v>3</v>
      </c>
      <c r="F7" s="22" t="inlineStr">
        <is>
          <t>estimado</t>
        </is>
      </c>
      <c r="G7" s="22" t="inlineStr">
        <is>
          <t>por_verificar</t>
        </is>
      </c>
      <c r="H7" s="22" t="inlineStr">
        <is>
          <t>CAD</t>
        </is>
      </c>
      <c r="I7" s="22" t="inlineStr">
        <is>
          <t>2026-10-29</t>
        </is>
      </c>
      <c r="J7" s="11" t="inlineStr">
        <is>
          <t>linterna.pisos</t>
        </is>
      </c>
      <c r="K7" s="11" t="inlineStr"/>
    </row>
    <row r="8">
      <c r="A8" s="18" t="inlineStr">
        <is>
          <t>CÁMARA ARDUCAM MEGA 5MP</t>
        </is>
      </c>
      <c r="B8" s="19" t="n"/>
      <c r="C8" s="19" t="n"/>
      <c r="D8" s="19" t="n"/>
      <c r="E8" s="19" t="n"/>
      <c r="F8" s="19" t="n"/>
      <c r="G8" s="19" t="n"/>
      <c r="H8" s="19" t="n"/>
      <c r="I8" s="20" t="n"/>
      <c r="J8" s="11" t="n"/>
      <c r="K8" s="11" t="n"/>
    </row>
    <row r="9" ht="30" customHeight="1">
      <c r="A9" s="21" t="inlineStr">
        <is>
          <t>camara.largo</t>
        </is>
      </c>
      <c r="B9" s="21" t="inlineStr">
        <is>
          <t>Largo de la placa de la cámara</t>
        </is>
      </c>
      <c r="C9" s="21" t="inlineStr">
        <is>
          <t>Calibrador, sin contar el conector</t>
        </is>
      </c>
      <c r="D9" s="21" t="inlineStr">
        <is>
          <t>mm</t>
        </is>
      </c>
      <c r="E9" s="22" t="n">
        <v>33</v>
      </c>
      <c r="F9" s="22" t="inlineStr">
        <is>
          <t>fabricante</t>
        </is>
      </c>
      <c r="G9" s="22" t="inlineStr">
        <is>
          <t>confirmado</t>
        </is>
      </c>
      <c r="H9" s="22" t="inlineStr">
        <is>
          <t>CAD</t>
        </is>
      </c>
      <c r="I9" s="22" t="inlineStr">
        <is>
          <t>2026-10-29</t>
        </is>
      </c>
      <c r="J9" s="11" t="inlineStr">
        <is>
          <t>camara.envolvente[0]</t>
        </is>
      </c>
      <c r="K9" s="11" t="inlineStr"/>
    </row>
    <row r="10" ht="30" customHeight="1">
      <c r="A10" s="21" t="inlineStr">
        <is>
          <t>camara.ancho</t>
        </is>
      </c>
      <c r="B10" s="21" t="inlineStr">
        <is>
          <t>Ancho de la placa de la cámara</t>
        </is>
      </c>
      <c r="C10" s="21" t="inlineStr">
        <is>
          <t>Calibrador</t>
        </is>
      </c>
      <c r="D10" s="21" t="inlineStr">
        <is>
          <t>mm</t>
        </is>
      </c>
      <c r="E10" s="22" t="n">
        <v>33</v>
      </c>
      <c r="F10" s="22" t="inlineStr">
        <is>
          <t>fabricante</t>
        </is>
      </c>
      <c r="G10" s="22" t="inlineStr">
        <is>
          <t>confirmado</t>
        </is>
      </c>
      <c r="H10" s="22" t="inlineStr">
        <is>
          <t>CAD</t>
        </is>
      </c>
      <c r="I10" s="22" t="inlineStr">
        <is>
          <t>2026-10-29</t>
        </is>
      </c>
      <c r="J10" s="11" t="inlineStr">
        <is>
          <t>camara.envolvente[1]</t>
        </is>
      </c>
      <c r="K10" s="11" t="inlineStr"/>
    </row>
    <row r="11" ht="30" customHeight="1">
      <c r="A11" s="21" t="inlineStr">
        <is>
          <t>camara.alto</t>
        </is>
      </c>
      <c r="B11" s="21" t="inlineStr">
        <is>
          <t>Alto total con el lente puesto</t>
        </is>
      </c>
      <c r="C11" s="21" t="inlineStr">
        <is>
          <t>Calibrador, desde la cara trasera de la placa hasta la punta del lente</t>
        </is>
      </c>
      <c r="D11" s="21" t="inlineStr">
        <is>
          <t>mm</t>
        </is>
      </c>
      <c r="E11" s="22" t="n">
        <v>17</v>
      </c>
      <c r="F11" s="22" t="inlineStr">
        <is>
          <t>fabricante</t>
        </is>
      </c>
      <c r="G11" s="22" t="inlineStr">
        <is>
          <t>confirmado</t>
        </is>
      </c>
      <c r="H11" s="22" t="inlineStr">
        <is>
          <t>CAD</t>
        </is>
      </c>
      <c r="I11" s="22" t="inlineStr">
        <is>
          <t>2026-10-29</t>
        </is>
      </c>
      <c r="J11" s="11" t="inlineStr">
        <is>
          <t>camara.envolvente[2]</t>
        </is>
      </c>
      <c r="K11" s="11" t="inlineStr"/>
    </row>
    <row r="12" ht="30" customHeight="1">
      <c r="A12" s="21" t="inlineStr">
        <is>
          <t>camara.cable_incluido</t>
        </is>
      </c>
      <c r="B12" s="21" t="inlineStr">
        <is>
          <t>Largo del cable plano que viene con la cámara</t>
        </is>
      </c>
      <c r="C12" s="21" t="inlineStr">
        <is>
          <t>Cinta métrica, cable estirado sin tensar, de conector a conector</t>
        </is>
      </c>
      <c r="D12" s="21" t="inlineStr">
        <is>
          <t>mm</t>
        </is>
      </c>
      <c r="E12" s="22" t="n">
        <v>300</v>
      </c>
      <c r="F12" s="22" t="inlineStr">
        <is>
          <t>fabricante</t>
        </is>
      </c>
      <c r="G12" s="22" t="inlineStr">
        <is>
          <t>por_verificar</t>
        </is>
      </c>
      <c r="H12" s="22" t="inlineStr">
        <is>
          <t>CAD</t>
        </is>
      </c>
      <c r="I12" s="22" t="inlineStr">
        <is>
          <t>2026-10-29</t>
        </is>
      </c>
      <c r="J12" s="11" t="inlineStr">
        <is>
          <t>camara.cable_incluido</t>
        </is>
      </c>
      <c r="K12" s="11" t="inlineStr"/>
    </row>
    <row r="13" ht="30" customHeight="1">
      <c r="A13" s="21" t="inlineStr">
        <is>
          <t>camara.agujero_diametro</t>
        </is>
      </c>
      <c r="B13" s="21" t="inlineStr">
        <is>
          <t>Diámetro de los agujeros de montaje de la placa</t>
        </is>
      </c>
      <c r="C13" s="21" t="inlineStr">
        <is>
          <t>Calibrador interior</t>
        </is>
      </c>
      <c r="D13" s="21" t="inlineStr">
        <is>
          <t>mm</t>
        </is>
      </c>
      <c r="E13" s="22" t="n"/>
      <c r="F13" s="22" t="n"/>
      <c r="G13" s="22" t="n"/>
      <c r="H13" s="22" t="n"/>
      <c r="I13" s="22" t="n"/>
      <c r="J13" s="11" t="n"/>
      <c r="K13" s="14" t="inlineStr">
        <is>
          <t>el CAD no usa los agujeros de la placa (la camara va calzada en la cavidad)</t>
        </is>
      </c>
    </row>
    <row r="14" ht="30" customHeight="1">
      <c r="A14" s="21" t="inlineStr">
        <is>
          <t>camara.agujero_distancia</t>
        </is>
      </c>
      <c r="B14" s="21" t="inlineStr">
        <is>
          <t>Distancia entre centros de los agujeros de montaje</t>
        </is>
      </c>
      <c r="C14" s="21" t="inlineStr">
        <is>
          <t>Calibrador, centro a centro</t>
        </is>
      </c>
      <c r="D14" s="21" t="inlineStr">
        <is>
          <t>mm</t>
        </is>
      </c>
      <c r="E14" s="22" t="n"/>
      <c r="F14" s="22" t="n"/>
      <c r="G14" s="22" t="n"/>
      <c r="H14" s="22" t="n"/>
      <c r="I14" s="22" t="n"/>
      <c r="J14" s="11" t="n"/>
      <c r="K14" s="11" t="inlineStr">
        <is>
          <t>idem</t>
        </is>
      </c>
    </row>
    <row r="15">
      <c r="A15" s="18" t="inlineStr">
        <is>
          <t>ARO LED</t>
        </is>
      </c>
      <c r="B15" s="19" t="n"/>
      <c r="C15" s="19" t="n"/>
      <c r="D15" s="19" t="n"/>
      <c r="E15" s="19" t="n"/>
      <c r="F15" s="19" t="n"/>
      <c r="G15" s="19" t="n"/>
      <c r="H15" s="19" t="n"/>
      <c r="I15" s="20" t="n"/>
      <c r="J15" s="11" t="n"/>
      <c r="K15" s="11" t="n"/>
    </row>
    <row r="16" ht="30" customHeight="1">
      <c r="A16" s="21" t="inlineStr">
        <is>
          <t>aro_led.exterior</t>
        </is>
      </c>
      <c r="B16" s="21" t="inlineStr">
        <is>
          <t>Diámetro exterior del aro LED</t>
        </is>
      </c>
      <c r="C16" s="21" t="inlineStr">
        <is>
          <t>Calibrador</t>
        </is>
      </c>
      <c r="D16" s="21" t="inlineStr">
        <is>
          <t>mm</t>
        </is>
      </c>
      <c r="E16" s="22" t="n">
        <v>30</v>
      </c>
      <c r="F16" s="22" t="inlineStr">
        <is>
          <t>estimado</t>
        </is>
      </c>
      <c r="G16" s="22" t="inlineStr">
        <is>
          <t>por_verificar</t>
        </is>
      </c>
      <c r="H16" s="22" t="inlineStr">
        <is>
          <t>CAD</t>
        </is>
      </c>
      <c r="I16" s="22" t="inlineStr">
        <is>
          <t>2026-10-29</t>
        </is>
      </c>
      <c r="J16" s="11" t="inlineStr">
        <is>
          <t>aro_led.envolvente[0]</t>
        </is>
      </c>
      <c r="K16" s="11" t="inlineStr"/>
    </row>
    <row r="17" ht="30" customHeight="1">
      <c r="A17" s="21" t="inlineStr">
        <is>
          <t>aro_led.interior</t>
        </is>
      </c>
      <c r="B17" s="21" t="inlineStr">
        <is>
          <t>Diámetro interior del aro LED (el hueco)</t>
        </is>
      </c>
      <c r="C17" s="21" t="inlineStr">
        <is>
          <t>Calibrador interior</t>
        </is>
      </c>
      <c r="D17" s="21" t="inlineStr">
        <is>
          <t>mm</t>
        </is>
      </c>
      <c r="E17" s="22" t="n">
        <v>19</v>
      </c>
      <c r="F17" s="22" t="inlineStr">
        <is>
          <t>estimado</t>
        </is>
      </c>
      <c r="G17" s="22" t="inlineStr">
        <is>
          <t>por_verificar</t>
        </is>
      </c>
      <c r="H17" s="22" t="inlineStr">
        <is>
          <t>CAD</t>
        </is>
      </c>
      <c r="I17" s="22" t="inlineStr">
        <is>
          <t>2026-10-29</t>
        </is>
      </c>
      <c r="J17" s="11" t="inlineStr">
        <is>
          <t>aro_led.agujero</t>
        </is>
      </c>
      <c r="K17" s="11" t="inlineStr"/>
    </row>
    <row r="18" ht="30" customHeight="1">
      <c r="A18" s="21" t="inlineStr">
        <is>
          <t>aro_led.espesor</t>
        </is>
      </c>
      <c r="B18" s="21" t="inlineStr">
        <is>
          <t>Espesor del aro LED con sus componentes</t>
        </is>
      </c>
      <c r="C18" s="21" t="inlineStr">
        <is>
          <t>Calibrador, en la parte más gruesa</t>
        </is>
      </c>
      <c r="D18" s="21" t="inlineStr">
        <is>
          <t>mm</t>
        </is>
      </c>
      <c r="E18" s="22" t="n">
        <v>3</v>
      </c>
      <c r="F18" s="22" t="inlineStr">
        <is>
          <t>estimado</t>
        </is>
      </c>
      <c r="G18" s="22" t="inlineStr">
        <is>
          <t>por_verificar</t>
        </is>
      </c>
      <c r="H18" s="22" t="inlineStr">
        <is>
          <t>CAD</t>
        </is>
      </c>
      <c r="I18" s="22" t="inlineStr">
        <is>
          <t>2026-10-29</t>
        </is>
      </c>
      <c r="J18" s="11" t="inlineStr">
        <is>
          <t>aro_led.envolvente[1]</t>
        </is>
      </c>
      <c r="K18" s="11" t="inlineStr"/>
    </row>
    <row r="19">
      <c r="A19" s="18" t="inlineStr">
        <is>
          <t>ESP32-S3 (placa sola, sin KIT A)</t>
        </is>
      </c>
      <c r="B19" s="19" t="n"/>
      <c r="C19" s="19" t="n"/>
      <c r="D19" s="19" t="n"/>
      <c r="E19" s="19" t="n"/>
      <c r="F19" s="19" t="n"/>
      <c r="G19" s="19" t="n"/>
      <c r="H19" s="19" t="n"/>
      <c r="I19" s="20" t="n"/>
      <c r="J19" s="11" t="n"/>
      <c r="K19" s="11" t="n"/>
    </row>
    <row r="20" ht="30" customHeight="1">
      <c r="A20" s="21" t="inlineStr">
        <is>
          <t>esp32.largo</t>
        </is>
      </c>
      <c r="B20" s="21" t="inlineStr">
        <is>
          <t>Largo de la placa</t>
        </is>
      </c>
      <c r="C20" s="21" t="inlineStr">
        <is>
          <t>Calibrador, incluyendo el conector USB si sobresale</t>
        </is>
      </c>
      <c r="D20" s="21" t="inlineStr">
        <is>
          <t>mm</t>
        </is>
      </c>
      <c r="E20" s="22" t="n">
        <v>69</v>
      </c>
      <c r="F20" s="22" t="inlineStr">
        <is>
          <t>estimado</t>
        </is>
      </c>
      <c r="G20" s="22" t="inlineStr">
        <is>
          <t>por_verificar</t>
        </is>
      </c>
      <c r="H20" s="22" t="inlineStr">
        <is>
          <t>CAD</t>
        </is>
      </c>
      <c r="I20" s="22" t="inlineStr">
        <is>
          <t>2026-10-29</t>
        </is>
      </c>
      <c r="J20" s="11" t="inlineStr">
        <is>
          <t>comp.esp32_devkitc1[0]</t>
        </is>
      </c>
      <c r="K20" s="11" t="inlineStr"/>
    </row>
    <row r="21" ht="30" customHeight="1">
      <c r="A21" s="21" t="inlineStr">
        <is>
          <t>esp32.ancho</t>
        </is>
      </c>
      <c r="B21" s="21" t="inlineStr">
        <is>
          <t>Ancho de la placa</t>
        </is>
      </c>
      <c r="C21" s="21" t="inlineStr">
        <is>
          <t>Calibrador</t>
        </is>
      </c>
      <c r="D21" s="21" t="inlineStr">
        <is>
          <t>mm</t>
        </is>
      </c>
      <c r="E21" s="22" t="n">
        <v>26</v>
      </c>
      <c r="F21" s="22" t="inlineStr">
        <is>
          <t>estimado</t>
        </is>
      </c>
      <c r="G21" s="22" t="inlineStr">
        <is>
          <t>por_verificar</t>
        </is>
      </c>
      <c r="H21" s="22" t="inlineStr">
        <is>
          <t>CAD</t>
        </is>
      </c>
      <c r="I21" s="22" t="inlineStr">
        <is>
          <t>2026-10-29</t>
        </is>
      </c>
      <c r="J21" s="11" t="inlineStr">
        <is>
          <t>comp.esp32_devkitc1[1]</t>
        </is>
      </c>
      <c r="K21" s="11" t="inlineStr"/>
    </row>
    <row r="22" ht="30" customHeight="1">
      <c r="A22" s="21" t="inlineStr">
        <is>
          <t>esp32.alto_con_headers</t>
        </is>
      </c>
      <c r="B22" s="21" t="inlineStr">
        <is>
          <t>Alto total con los pines (headers) puestos</t>
        </is>
      </c>
      <c r="C22" s="21" t="inlineStr">
        <is>
          <t>Calibrador, de la punta de los pines a lo más alto del otro lado</t>
        </is>
      </c>
      <c r="D22" s="21" t="inlineStr">
        <is>
          <t>mm</t>
        </is>
      </c>
      <c r="E22" s="22" t="n">
        <v>15</v>
      </c>
      <c r="F22" s="22" t="inlineStr">
        <is>
          <t>estimado</t>
        </is>
      </c>
      <c r="G22" s="22" t="inlineStr">
        <is>
          <t>por_verificar</t>
        </is>
      </c>
      <c r="H22" s="22" t="inlineStr">
        <is>
          <t>CAD</t>
        </is>
      </c>
      <c r="I22" s="22" t="inlineStr">
        <is>
          <t>2026-10-29</t>
        </is>
      </c>
      <c r="J22" s="11" t="inlineStr">
        <is>
          <t>comp.esp32_devkitc1[2]</t>
        </is>
      </c>
      <c r="K22" s="11" t="inlineStr"/>
    </row>
    <row r="23" ht="30" customHeight="1">
      <c r="A23" s="21" t="inlineStr">
        <is>
          <t>esp32.lado_usb</t>
        </is>
      </c>
      <c r="B23" s="21" t="inlineStr">
        <is>
          <t>En qué lado corto está el USB-C</t>
        </is>
      </c>
      <c r="C23" s="21" t="inlineStr">
        <is>
          <t>Texto: 'lado antena' o 'lado opuesto'</t>
        </is>
      </c>
      <c r="D23" s="21" t="inlineStr">
        <is>
          <t>texto</t>
        </is>
      </c>
      <c r="E23" s="22" t="n"/>
      <c r="F23" s="22" t="n"/>
      <c r="G23" s="22" t="n"/>
      <c r="H23" s="22" t="n"/>
      <c r="I23" s="22" t="n"/>
      <c r="J23" s="11" t="n"/>
      <c r="K23" s="14" t="inlineStr">
        <is>
          <t>el layout supone el USB en el lado corto u+ (layout.py), no es un parametro</t>
        </is>
      </c>
    </row>
    <row r="24">
      <c r="A24" s="18" t="inlineStr">
        <is>
          <t>PCB DE LA BOYA (placa fabricada 70 x 73.5)</t>
        </is>
      </c>
      <c r="B24" s="19" t="n"/>
      <c r="C24" s="19" t="n"/>
      <c r="D24" s="19" t="n"/>
      <c r="E24" s="19" t="n"/>
      <c r="F24" s="19" t="n"/>
      <c r="G24" s="19" t="n"/>
      <c r="H24" s="19" t="n"/>
      <c r="I24" s="20" t="n"/>
      <c r="J24" s="11" t="n"/>
      <c r="K24" s="11" t="n"/>
    </row>
    <row r="25" ht="30" customHeight="1">
      <c r="A25" s="21" t="inlineStr">
        <is>
          <t>pcb_boya.largo</t>
        </is>
      </c>
      <c r="B25" s="21" t="inlineStr">
        <is>
          <t>Largo real de la placa</t>
        </is>
      </c>
      <c r="C25" s="21" t="inlineStr">
        <is>
          <t>Calibrador</t>
        </is>
      </c>
      <c r="D25" s="21" t="inlineStr">
        <is>
          <t>mm</t>
        </is>
      </c>
      <c r="E25" s="22" t="n">
        <v>70</v>
      </c>
      <c r="F25" s="22" t="inlineStr">
        <is>
          <t>equipo</t>
        </is>
      </c>
      <c r="G25" s="22" t="inlineStr">
        <is>
          <t>por_verificar</t>
        </is>
      </c>
      <c r="H25" s="22" t="inlineStr">
        <is>
          <t>CAD</t>
        </is>
      </c>
      <c r="I25" s="22" t="inlineStr">
        <is>
          <t>2026-10-29</t>
        </is>
      </c>
      <c r="J25" s="11" t="inlineStr">
        <is>
          <t>boya.pcb[0]</t>
        </is>
      </c>
      <c r="K25" s="11" t="inlineStr"/>
    </row>
    <row r="26" ht="30" customHeight="1">
      <c r="A26" s="21" t="inlineStr">
        <is>
          <t>pcb_boya.ancho</t>
        </is>
      </c>
      <c r="B26" s="21" t="inlineStr">
        <is>
          <t>Ancho real de la placa</t>
        </is>
      </c>
      <c r="C26" s="21" t="inlineStr">
        <is>
          <t>Calibrador</t>
        </is>
      </c>
      <c r="D26" s="21" t="inlineStr">
        <is>
          <t>mm</t>
        </is>
      </c>
      <c r="E26" s="22" t="n">
        <v>73.5</v>
      </c>
      <c r="F26" s="22" t="inlineStr">
        <is>
          <t>equipo</t>
        </is>
      </c>
      <c r="G26" s="22" t="inlineStr">
        <is>
          <t>por_verificar</t>
        </is>
      </c>
      <c r="H26" s="22" t="inlineStr">
        <is>
          <t>CAD</t>
        </is>
      </c>
      <c r="I26" s="22" t="inlineStr">
        <is>
          <t>2026-10-29</t>
        </is>
      </c>
      <c r="J26" s="11" t="inlineStr">
        <is>
          <t>boya.pcb[1]</t>
        </is>
      </c>
      <c r="K26" s="11" t="inlineStr"/>
    </row>
    <row r="27" ht="30" customHeight="1">
      <c r="A27" s="21" t="inlineStr">
        <is>
          <t>pcb_boya.agujero_diametro</t>
        </is>
      </c>
      <c r="B27" s="21" t="inlineStr">
        <is>
          <t>Diámetro de los agujeros de montaje</t>
        </is>
      </c>
      <c r="C27" s="21" t="inlineStr">
        <is>
          <t>Calibrador interior</t>
        </is>
      </c>
      <c r="D27" s="21" t="inlineStr">
        <is>
          <t>mm</t>
        </is>
      </c>
      <c r="E27" s="22" t="n"/>
      <c r="F27" s="22" t="n"/>
      <c r="G27" s="22" t="n"/>
      <c r="H27" s="22" t="n"/>
      <c r="I27" s="22" t="n"/>
      <c r="J27" s="11" t="n"/>
      <c r="K27" s="11" t="inlineStr">
        <is>
          <t>la boya no fija la PCB por sus agujeros todavia</t>
        </is>
      </c>
    </row>
    <row r="28" ht="30" customHeight="1">
      <c r="A28" s="21" t="inlineStr">
        <is>
          <t>pcb_boya.agujero_dist_esquina</t>
        </is>
      </c>
      <c r="B28" s="21" t="inlineStr">
        <is>
          <t>Distancia del centro del agujero a cada borde</t>
        </is>
      </c>
      <c r="C28" s="21" t="inlineStr">
        <is>
          <t>Calibrador, anotar las dos distancias (x e y) si son distintas</t>
        </is>
      </c>
      <c r="D28" s="21" t="inlineStr">
        <is>
          <t>mm</t>
        </is>
      </c>
      <c r="E28" s="22" t="n"/>
      <c r="F28" s="22" t="n"/>
      <c r="G28" s="22" t="n"/>
      <c r="H28" s="22" t="n"/>
      <c r="I28" s="22" t="n"/>
      <c r="J28" s="11" t="n"/>
      <c r="K28" s="11" t="inlineStr">
        <is>
          <t>idem</t>
        </is>
      </c>
    </row>
    <row r="29" ht="30" customHeight="1">
      <c r="A29" s="21" t="inlineStr">
        <is>
          <t>pcb_boya.alto_componentes</t>
        </is>
      </c>
      <c r="B29" s="21" t="inlineStr">
        <is>
          <t>Alto máximo de lo que tiene encima (Heltec en headers + OLED)</t>
        </is>
      </c>
      <c r="C29" s="21" t="inlineStr">
        <is>
          <t>Calibrador, desde la cara inferior de la placa a lo más alto</t>
        </is>
      </c>
      <c r="D29" s="21" t="inlineStr">
        <is>
          <t>mm</t>
        </is>
      </c>
      <c r="E29" s="22" t="n">
        <v>25</v>
      </c>
      <c r="F29" s="22" t="inlineStr">
        <is>
          <t>estimado</t>
        </is>
      </c>
      <c r="G29" s="22" t="inlineStr">
        <is>
          <t>por_verificar</t>
        </is>
      </c>
      <c r="H29" s="22" t="inlineStr">
        <is>
          <t>CAD</t>
        </is>
      </c>
      <c r="I29" s="22" t="inlineStr">
        <is>
          <t>2026-10-29</t>
        </is>
      </c>
      <c r="J29" s="11" t="inlineStr">
        <is>
          <t>boya.alto_pcb_conectores</t>
        </is>
      </c>
      <c r="K29" s="11" t="inlineStr"/>
    </row>
    <row r="30">
      <c r="A30" s="18" t="inlineStr">
        <is>
          <t>ENERGÍA DE LA BOYA</t>
        </is>
      </c>
      <c r="B30" s="19" t="n"/>
      <c r="C30" s="19" t="n"/>
      <c r="D30" s="19" t="n"/>
      <c r="E30" s="19" t="n"/>
      <c r="F30" s="19" t="n"/>
      <c r="G30" s="19" t="n"/>
      <c r="H30" s="19" t="n"/>
      <c r="I30" s="20" t="n"/>
      <c r="J30" s="11" t="n"/>
      <c r="K30" s="11" t="n"/>
    </row>
    <row r="31" ht="30" customHeight="1">
      <c r="A31" s="21" t="inlineStr">
        <is>
          <t>portabaterias.largo</t>
        </is>
      </c>
      <c r="B31" s="21" t="inlineStr">
        <is>
          <t>Largo del portabaterías 3 x 18650</t>
        </is>
      </c>
      <c r="C31" s="21" t="inlineStr">
        <is>
          <t>Calibrador o regla</t>
        </is>
      </c>
      <c r="D31" s="21" t="inlineStr">
        <is>
          <t>mm</t>
        </is>
      </c>
      <c r="E31" s="22" t="n">
        <v>80</v>
      </c>
      <c r="F31" s="22" t="inlineStr">
        <is>
          <t>estimado</t>
        </is>
      </c>
      <c r="G31" s="22" t="inlineStr">
        <is>
          <t>por_verificar</t>
        </is>
      </c>
      <c r="H31" s="22" t="inlineStr">
        <is>
          <t>CAD</t>
        </is>
      </c>
      <c r="I31" s="22" t="inlineStr">
        <is>
          <t>2026-10-29</t>
        </is>
      </c>
      <c r="J31" s="11" t="inlineStr">
        <is>
          <t>boya.portabaterias[0]</t>
        </is>
      </c>
      <c r="K31" s="11" t="inlineStr"/>
    </row>
    <row r="32" ht="30" customHeight="1">
      <c r="A32" s="21" t="inlineStr">
        <is>
          <t>portabaterias.ancho</t>
        </is>
      </c>
      <c r="B32" s="21" t="inlineStr">
        <is>
          <t>Ancho del portabaterías</t>
        </is>
      </c>
      <c r="C32" s="21" t="inlineStr">
        <is>
          <t>Calibrador o regla</t>
        </is>
      </c>
      <c r="D32" s="21" t="inlineStr">
        <is>
          <t>mm</t>
        </is>
      </c>
      <c r="E32" s="22" t="n">
        <v>70</v>
      </c>
      <c r="F32" s="22" t="inlineStr">
        <is>
          <t>estimado</t>
        </is>
      </c>
      <c r="G32" s="22" t="inlineStr">
        <is>
          <t>por_verificar</t>
        </is>
      </c>
      <c r="H32" s="22" t="inlineStr">
        <is>
          <t>CAD</t>
        </is>
      </c>
      <c r="I32" s="22" t="inlineStr">
        <is>
          <t>2026-10-29</t>
        </is>
      </c>
      <c r="J32" s="11" t="inlineStr">
        <is>
          <t>boya.portabaterias[1]</t>
        </is>
      </c>
      <c r="K32" s="11" t="inlineStr"/>
    </row>
    <row r="33" ht="30" customHeight="1">
      <c r="A33" s="21" t="inlineStr">
        <is>
          <t>portabaterias.alto</t>
        </is>
      </c>
      <c r="B33" s="21" t="inlineStr">
        <is>
          <t>Alto del portabaterías con baterías puestas</t>
        </is>
      </c>
      <c r="C33" s="21" t="inlineStr">
        <is>
          <t>Calibrador</t>
        </is>
      </c>
      <c r="D33" s="21" t="inlineStr">
        <is>
          <t>mm</t>
        </is>
      </c>
      <c r="E33" s="22" t="n">
        <v>30</v>
      </c>
      <c r="F33" s="22" t="inlineStr">
        <is>
          <t>estimado</t>
        </is>
      </c>
      <c r="G33" s="22" t="inlineStr">
        <is>
          <t>por_verificar</t>
        </is>
      </c>
      <c r="H33" s="22" t="inlineStr">
        <is>
          <t>CAD</t>
        </is>
      </c>
      <c r="I33" s="22" t="inlineStr">
        <is>
          <t>2026-10-29</t>
        </is>
      </c>
      <c r="J33" s="11" t="inlineStr">
        <is>
          <t>boya.portabaterias[2]</t>
        </is>
      </c>
      <c r="K33" s="11" t="inlineStr"/>
    </row>
    <row r="34" ht="30" customHeight="1">
      <c r="A34" s="21" t="inlineStr">
        <is>
          <t>waveshare.largo</t>
        </is>
      </c>
      <c r="B34" s="21" t="inlineStr">
        <is>
          <t>Largo del Waveshare Solar Power Manager (D)</t>
        </is>
      </c>
      <c r="C34" s="21" t="inlineStr">
        <is>
          <t>Calibrador</t>
        </is>
      </c>
      <c r="D34" s="21" t="inlineStr">
        <is>
          <t>mm</t>
        </is>
      </c>
      <c r="E34" s="22" t="n">
        <v>45</v>
      </c>
      <c r="F34" s="22" t="inlineStr">
        <is>
          <t>fabricante</t>
        </is>
      </c>
      <c r="G34" s="22" t="inlineStr">
        <is>
          <t>confirmado</t>
        </is>
      </c>
      <c r="H34" s="22" t="inlineStr">
        <is>
          <t>CAD</t>
        </is>
      </c>
      <c r="I34" s="22" t="inlineStr">
        <is>
          <t>2026-10-29</t>
        </is>
      </c>
      <c r="J34" s="11" t="inlineStr">
        <is>
          <t>boya.waveshare_D[0]</t>
        </is>
      </c>
      <c r="K34" s="11" t="inlineStr"/>
    </row>
    <row r="35" ht="30" customHeight="1">
      <c r="A35" s="21" t="inlineStr">
        <is>
          <t>waveshare.ancho</t>
        </is>
      </c>
      <c r="B35" s="21" t="inlineStr">
        <is>
          <t>Ancho del Waveshare</t>
        </is>
      </c>
      <c r="C35" s="21" t="inlineStr">
        <is>
          <t>Calibrador</t>
        </is>
      </c>
      <c r="D35" s="21" t="inlineStr">
        <is>
          <t>mm</t>
        </is>
      </c>
      <c r="E35" s="22" t="n">
        <v>40</v>
      </c>
      <c r="F35" s="22" t="inlineStr">
        <is>
          <t>fabricante</t>
        </is>
      </c>
      <c r="G35" s="22" t="inlineStr">
        <is>
          <t>confirmado</t>
        </is>
      </c>
      <c r="H35" s="22" t="inlineStr">
        <is>
          <t>CAD</t>
        </is>
      </c>
      <c r="I35" s="22" t="inlineStr">
        <is>
          <t>2026-10-29</t>
        </is>
      </c>
      <c r="J35" s="11" t="inlineStr">
        <is>
          <t>boya.waveshare_D[1]</t>
        </is>
      </c>
      <c r="K35" s="11" t="inlineStr"/>
    </row>
    <row r="36" ht="30" customHeight="1">
      <c r="A36" s="21" t="inlineStr">
        <is>
          <t>waveshare.alto</t>
        </is>
      </c>
      <c r="B36" s="21" t="inlineStr">
        <is>
          <t>Alto del Waveshare con conectores</t>
        </is>
      </c>
      <c r="C36" s="21" t="inlineStr">
        <is>
          <t>Calibrador</t>
        </is>
      </c>
      <c r="D36" s="21" t="inlineStr">
        <is>
          <t>mm</t>
        </is>
      </c>
      <c r="E36" s="22" t="n">
        <v>10.1</v>
      </c>
      <c r="F36" s="22" t="inlineStr">
        <is>
          <t>fabricante</t>
        </is>
      </c>
      <c r="G36" s="22" t="inlineStr">
        <is>
          <t>confirmado</t>
        </is>
      </c>
      <c r="H36" s="22" t="inlineStr">
        <is>
          <t>CAD</t>
        </is>
      </c>
      <c r="I36" s="22" t="inlineStr">
        <is>
          <t>2026-10-29</t>
        </is>
      </c>
      <c r="J36" s="11" t="inlineStr">
        <is>
          <t>boya.waveshare_D[2]</t>
        </is>
      </c>
      <c r="K36" s="11" t="inlineStr"/>
    </row>
    <row r="37" ht="30" customHeight="1">
      <c r="A37" s="21" t="inlineStr">
        <is>
          <t>panel.largo</t>
        </is>
      </c>
      <c r="B37" s="21" t="inlineStr">
        <is>
          <t>Largo del panel solar</t>
        </is>
      </c>
      <c r="C37" s="21" t="inlineStr">
        <is>
          <t>Regla o cinta</t>
        </is>
      </c>
      <c r="D37" s="21" t="inlineStr">
        <is>
          <t>mm</t>
        </is>
      </c>
      <c r="E37" s="22" t="n">
        <v>170</v>
      </c>
      <c r="F37" s="22" t="inlineStr">
        <is>
          <t>estimado</t>
        </is>
      </c>
      <c r="G37" s="22" t="inlineStr">
        <is>
          <t>por_verificar</t>
        </is>
      </c>
      <c r="H37" s="22" t="inlineStr">
        <is>
          <t>CAD</t>
        </is>
      </c>
      <c r="I37" s="22" t="inlineStr">
        <is>
          <t>2026-10-29</t>
        </is>
      </c>
      <c r="J37" s="11" t="inlineStr">
        <is>
          <t>boya.panel[0]</t>
        </is>
      </c>
      <c r="K37" s="11" t="inlineStr"/>
    </row>
    <row r="38" ht="30" customHeight="1">
      <c r="A38" s="21" t="inlineStr">
        <is>
          <t>panel.ancho</t>
        </is>
      </c>
      <c r="B38" s="21" t="inlineStr">
        <is>
          <t>Ancho del panel solar</t>
        </is>
      </c>
      <c r="C38" s="21" t="inlineStr">
        <is>
          <t>Regla o cinta</t>
        </is>
      </c>
      <c r="D38" s="21" t="inlineStr">
        <is>
          <t>mm</t>
        </is>
      </c>
      <c r="E38" s="22" t="n">
        <v>170</v>
      </c>
      <c r="F38" s="22" t="inlineStr">
        <is>
          <t>estimado</t>
        </is>
      </c>
      <c r="G38" s="22" t="inlineStr">
        <is>
          <t>por_verificar</t>
        </is>
      </c>
      <c r="H38" s="22" t="inlineStr">
        <is>
          <t>CAD</t>
        </is>
      </c>
      <c r="I38" s="22" t="inlineStr">
        <is>
          <t>2026-10-29</t>
        </is>
      </c>
      <c r="J38" s="11" t="inlineStr">
        <is>
          <t>boya.panel[1]</t>
        </is>
      </c>
      <c r="K38" s="11" t="inlineStr"/>
    </row>
    <row r="39" ht="30" customHeight="1">
      <c r="A39" s="21" t="inlineStr">
        <is>
          <t>panel.espesor</t>
        </is>
      </c>
      <c r="B39" s="21" t="inlineStr">
        <is>
          <t>Espesor del panel solar</t>
        </is>
      </c>
      <c r="C39" s="21" t="inlineStr">
        <is>
          <t>Calibrador en el borde</t>
        </is>
      </c>
      <c r="D39" s="21" t="inlineStr">
        <is>
          <t>mm</t>
        </is>
      </c>
      <c r="E39" s="22" t="n">
        <v>3</v>
      </c>
      <c r="F39" s="22" t="inlineStr">
        <is>
          <t>estimado</t>
        </is>
      </c>
      <c r="G39" s="22" t="inlineStr">
        <is>
          <t>por_verificar</t>
        </is>
      </c>
      <c r="H39" s="22" t="inlineStr">
        <is>
          <t>CAD</t>
        </is>
      </c>
      <c r="I39" s="22" t="inlineStr">
        <is>
          <t>2026-10-29</t>
        </is>
      </c>
      <c r="J39" s="11" t="inlineStr">
        <is>
          <t>boya.panel[2]</t>
        </is>
      </c>
      <c r="K39" s="11" t="inlineStr"/>
    </row>
    <row r="40">
      <c r="A40" s="18" t="inlineStr">
        <is>
          <t>CABLES Y SELLADO</t>
        </is>
      </c>
      <c r="B40" s="19" t="n"/>
      <c r="C40" s="19" t="n"/>
      <c r="D40" s="19" t="n"/>
      <c r="E40" s="19" t="n"/>
      <c r="F40" s="19" t="n"/>
      <c r="G40" s="19" t="n"/>
      <c r="H40" s="19" t="n"/>
      <c r="I40" s="20" t="n"/>
      <c r="J40" s="11" t="n"/>
      <c r="K40" s="11" t="n"/>
    </row>
    <row r="41" ht="30" customHeight="1">
      <c r="A41" s="21" t="inlineStr">
        <is>
          <t>umbilical.diametro</t>
        </is>
      </c>
      <c r="B41" s="21" t="inlineStr">
        <is>
          <t>Diámetro exterior del cable umbilical</t>
        </is>
      </c>
      <c r="C41" s="21" t="inlineStr">
        <is>
          <t>Calibrador cerrado sobre el cable sin aplastarlo</t>
        </is>
      </c>
      <c r="D41" s="21" t="inlineStr">
        <is>
          <t>mm</t>
        </is>
      </c>
      <c r="E41" s="22" t="n">
        <v>6</v>
      </c>
      <c r="F41" s="22" t="inlineStr">
        <is>
          <t>estimado</t>
        </is>
      </c>
      <c r="G41" s="22" t="inlineStr">
        <is>
          <t>por_verificar</t>
        </is>
      </c>
      <c r="H41" s="22" t="inlineStr">
        <is>
          <t>CAD</t>
        </is>
      </c>
      <c r="I41" s="22" t="inlineStr">
        <is>
          <t>2026-10-29</t>
        </is>
      </c>
      <c r="J41" s="11" t="inlineStr">
        <is>
          <t>umbilical[0]</t>
        </is>
      </c>
      <c r="K41" s="11" t="inlineStr"/>
    </row>
    <row r="42" ht="30" customHeight="1">
      <c r="A42" s="21" t="inlineStr">
        <is>
          <t>umbilical.longitud</t>
        </is>
      </c>
      <c r="B42" s="21" t="inlineStr">
        <is>
          <t>Largo del cable umbilical</t>
        </is>
      </c>
      <c r="C42" s="21" t="inlineStr">
        <is>
          <t>Cinta métrica</t>
        </is>
      </c>
      <c r="D42" s="21" t="inlineStr">
        <is>
          <t>mm</t>
        </is>
      </c>
      <c r="E42" s="22" t="n">
        <v>3000</v>
      </c>
      <c r="F42" s="22" t="inlineStr">
        <is>
          <t>estimado</t>
        </is>
      </c>
      <c r="G42" s="22" t="inlineStr">
        <is>
          <t>por_verificar</t>
        </is>
      </c>
      <c r="H42" s="22" t="inlineStr">
        <is>
          <t>CAD</t>
        </is>
      </c>
      <c r="I42" s="22" t="inlineStr">
        <is>
          <t>2026-10-29</t>
        </is>
      </c>
      <c r="J42" s="11" t="inlineStr">
        <is>
          <t>umbilical.longitud</t>
        </is>
      </c>
      <c r="K42" s="11" t="inlineStr"/>
    </row>
    <row r="43" ht="30" customHeight="1">
      <c r="A43" s="21" t="inlineStr">
        <is>
          <t>prensaestopas.rosca</t>
        </is>
      </c>
      <c r="B43" s="21" t="inlineStr">
        <is>
          <t>Rosca del prensaestopas comprado (ej. PG7, M12)</t>
        </is>
      </c>
      <c r="C43" s="21" t="inlineStr">
        <is>
          <t>Leer en el cuerpo del prensaestopas o en la boleta</t>
        </is>
      </c>
      <c r="D43" s="21" t="inlineStr">
        <is>
          <t>texto</t>
        </is>
      </c>
      <c r="E43" s="22" t="n"/>
      <c r="F43" s="22" t="n"/>
      <c r="G43" s="22" t="n"/>
      <c r="H43" s="22" t="n"/>
      <c r="I43" s="22" t="n"/>
      <c r="J43" s="11" t="n"/>
      <c r="K43" s="14" t="inlineStr">
        <is>
          <t>el CAD usa PG7 (pg7.agujero 12.6); anotar la rosca del comprado</t>
        </is>
      </c>
    </row>
    <row r="44" ht="30" customHeight="1">
      <c r="A44" s="21" t="inlineStr">
        <is>
          <t>prensaestopas.diametro_cable</t>
        </is>
      </c>
      <c r="B44" s="21" t="inlineStr">
        <is>
          <t>Rango de cable que admite el prensaestopas (ej. 3-6.5)</t>
        </is>
      </c>
      <c r="C44" s="21" t="inlineStr">
        <is>
          <t>Leer en la ficha o boleta</t>
        </is>
      </c>
      <c r="D44" s="21" t="inlineStr">
        <is>
          <t>mm</t>
        </is>
      </c>
      <c r="E44" s="22" t="n"/>
      <c r="F44" s="22" t="n"/>
      <c r="G44" s="22" t="n"/>
      <c r="H44" s="22" t="n"/>
      <c r="I44" s="22" t="n"/>
      <c r="J44" s="11" t="n"/>
      <c r="K44" s="11" t="inlineStr">
        <is>
          <t>el CAD usa el cable de Ø5.5 (cable.cat5e_D), no el rango</t>
        </is>
      </c>
    </row>
    <row r="45" ht="30" customHeight="1">
      <c r="A45" s="21" t="inlineStr">
        <is>
          <t>oring.diametro_interior</t>
        </is>
      </c>
      <c r="B45" s="21" t="inlineStr">
        <is>
          <t>Diámetro interior del O-ring comprado</t>
        </is>
      </c>
      <c r="C45" s="21" t="inlineStr">
        <is>
          <t>Calibrador o ficha</t>
        </is>
      </c>
      <c r="D45" s="21" t="inlineStr">
        <is>
          <t>mm</t>
        </is>
      </c>
      <c r="E45" s="22" t="n"/>
      <c r="F45" s="22" t="n"/>
      <c r="G45" s="22" t="n"/>
      <c r="H45" s="22" t="n"/>
      <c r="I45" s="22" t="n"/>
      <c r="J45" s="11" t="n"/>
      <c r="K45" s="14" t="inlineStr">
        <is>
          <t>el CAD usa cordon cortado a medida (junta.cordon), no O-rings cerrados</t>
        </is>
      </c>
    </row>
    <row r="46" ht="30" customHeight="1">
      <c r="A46" s="21" t="inlineStr">
        <is>
          <t>oring.seccion</t>
        </is>
      </c>
      <c r="B46" s="21" t="inlineStr">
        <is>
          <t>Grosor del cordón del O-ring</t>
        </is>
      </c>
      <c r="C46" s="21" t="inlineStr">
        <is>
          <t>Calibrador</t>
        </is>
      </c>
      <c r="D46" s="21" t="inlineStr">
        <is>
          <t>mm</t>
        </is>
      </c>
      <c r="E46" s="22" t="n">
        <v>2</v>
      </c>
      <c r="F46" s="22" t="inlineStr">
        <is>
          <t>equipo</t>
        </is>
      </c>
      <c r="G46" s="22" t="inlineStr">
        <is>
          <t>confirmado</t>
        </is>
      </c>
      <c r="H46" s="22" t="inlineStr">
        <is>
          <t>CAD</t>
        </is>
      </c>
      <c r="I46" s="22" t="inlineStr">
        <is>
          <t>2026-10-29</t>
        </is>
      </c>
      <c r="J46" s="11" t="inlineStr">
        <is>
          <t>junta.cordon</t>
        </is>
      </c>
      <c r="K46" s="11" t="inlineStr"/>
    </row>
    <row r="47">
      <c r="A47" s="18" t="inlineStr">
        <is>
          <t>IMPRESORA 3D</t>
        </is>
      </c>
      <c r="B47" s="19" t="n"/>
      <c r="C47" s="19" t="n"/>
      <c r="D47" s="19" t="n"/>
      <c r="E47" s="19" t="n"/>
      <c r="F47" s="19" t="n"/>
      <c r="G47" s="19" t="n"/>
      <c r="H47" s="19" t="n"/>
      <c r="I47" s="20" t="n"/>
      <c r="J47" s="11" t="n"/>
      <c r="K47" s="11" t="n"/>
    </row>
    <row r="48" ht="30" customHeight="1">
      <c r="A48" s="21" t="inlineStr">
        <is>
          <t>impresora.modelo</t>
        </is>
      </c>
      <c r="B48" s="21" t="inlineStr">
        <is>
          <t>Marca y modelo de la impresora que vamos a usar</t>
        </is>
      </c>
      <c r="C48" s="21" t="inlineStr">
        <is>
          <t>Texto</t>
        </is>
      </c>
      <c r="D48" s="21" t="inlineStr">
        <is>
          <t>texto</t>
        </is>
      </c>
      <c r="E48" s="22" t="inlineStr">
        <is>
          <t>Bambu Lab P1P</t>
        </is>
      </c>
      <c r="F48" s="22" t="inlineStr">
        <is>
          <t>fabricante</t>
        </is>
      </c>
      <c r="G48" s="22" t="inlineStr">
        <is>
          <t>confirmado</t>
        </is>
      </c>
      <c r="H48" s="22" t="inlineStr">
        <is>
          <t>CAD</t>
        </is>
      </c>
      <c r="I48" s="22" t="inlineStr">
        <is>
          <t>2026-10-29</t>
        </is>
      </c>
      <c r="J48" s="11" t="inlineStr">
        <is>
          <t>impresora.modelo</t>
        </is>
      </c>
      <c r="K48" s="11" t="inlineStr"/>
    </row>
    <row r="49" ht="30" customHeight="1">
      <c r="A49" s="21" t="inlineStr">
        <is>
          <t>impresora.cama_x</t>
        </is>
      </c>
      <c r="B49" s="21" t="inlineStr">
        <is>
          <t>Tamaño de la cama en X</t>
        </is>
      </c>
      <c r="C49" s="21" t="inlineStr">
        <is>
          <t>Ficha de la impresora</t>
        </is>
      </c>
      <c r="D49" s="21" t="inlineStr">
        <is>
          <t>mm</t>
        </is>
      </c>
      <c r="E49" s="22" t="n">
        <v>256</v>
      </c>
      <c r="F49" s="22" t="inlineStr">
        <is>
          <t>fabricante</t>
        </is>
      </c>
      <c r="G49" s="22" t="inlineStr">
        <is>
          <t>confirmado</t>
        </is>
      </c>
      <c r="H49" s="22" t="inlineStr">
        <is>
          <t>CAD</t>
        </is>
      </c>
      <c r="I49" s="22" t="inlineStr">
        <is>
          <t>2026-10-29</t>
        </is>
      </c>
      <c r="J49" s="11" t="inlineStr">
        <is>
          <t>impresora.cama[0]</t>
        </is>
      </c>
      <c r="K49" s="11" t="inlineStr"/>
    </row>
    <row r="50" ht="30" customHeight="1">
      <c r="A50" s="21" t="inlineStr">
        <is>
          <t>impresora.cama_y</t>
        </is>
      </c>
      <c r="B50" s="21" t="inlineStr">
        <is>
          <t>Tamaño de la cama en Y</t>
        </is>
      </c>
      <c r="C50" s="21" t="inlineStr">
        <is>
          <t>Ficha de la impresora</t>
        </is>
      </c>
      <c r="D50" s="21" t="inlineStr">
        <is>
          <t>mm</t>
        </is>
      </c>
      <c r="E50" s="22" t="n">
        <v>256</v>
      </c>
      <c r="F50" s="22" t="inlineStr">
        <is>
          <t>fabricante</t>
        </is>
      </c>
      <c r="G50" s="22" t="inlineStr">
        <is>
          <t>confirmado</t>
        </is>
      </c>
      <c r="H50" s="22" t="inlineStr">
        <is>
          <t>CAD</t>
        </is>
      </c>
      <c r="I50" s="22" t="inlineStr">
        <is>
          <t>2026-10-29</t>
        </is>
      </c>
      <c r="J50" s="11" t="inlineStr">
        <is>
          <t>impresora.cama[1]</t>
        </is>
      </c>
      <c r="K50" s="11" t="inlineStr"/>
    </row>
    <row r="51" ht="30" customHeight="1">
      <c r="A51" s="21" t="inlineStr">
        <is>
          <t>impresora.cama_z</t>
        </is>
      </c>
      <c r="B51" s="21" t="inlineStr">
        <is>
          <t>Altura máxima de impresión</t>
        </is>
      </c>
      <c r="C51" s="21" t="inlineStr">
        <is>
          <t>Ficha de la impresora</t>
        </is>
      </c>
      <c r="D51" s="21" t="inlineStr">
        <is>
          <t>mm</t>
        </is>
      </c>
      <c r="E51" s="22" t="n">
        <v>256</v>
      </c>
      <c r="F51" s="22" t="inlineStr">
        <is>
          <t>fabricante</t>
        </is>
      </c>
      <c r="G51" s="22" t="inlineStr">
        <is>
          <t>confirmado</t>
        </is>
      </c>
      <c r="H51" s="22" t="inlineStr">
        <is>
          <t>CAD</t>
        </is>
      </c>
      <c r="I51" s="22" t="inlineStr">
        <is>
          <t>2026-10-29</t>
        </is>
      </c>
      <c r="J51" s="11" t="inlineStr">
        <is>
          <t>impresora.cama[2]</t>
        </is>
      </c>
      <c r="K51" s="11" t="inlineStr"/>
    </row>
    <row r="52" ht="30" customHeight="1">
      <c r="A52" s="21" t="inlineStr">
        <is>
          <t>impresora.boquilla</t>
        </is>
      </c>
      <c r="B52" s="21" t="inlineStr">
        <is>
          <t>Diámetro de la boquilla</t>
        </is>
      </c>
      <c r="C52" s="21" t="inlineStr">
        <is>
          <t>Ficha o leer en la boquilla</t>
        </is>
      </c>
      <c r="D52" s="21" t="inlineStr">
        <is>
          <t>mm</t>
        </is>
      </c>
      <c r="E52" s="22" t="n">
        <v>0.4</v>
      </c>
      <c r="F52" s="22" t="inlineStr">
        <is>
          <t>fabricante</t>
        </is>
      </c>
      <c r="G52" s="22" t="inlineStr">
        <is>
          <t>confirmado</t>
        </is>
      </c>
      <c r="H52" s="22" t="inlineStr">
        <is>
          <t>CAD</t>
        </is>
      </c>
      <c r="I52" s="22" t="inlineStr">
        <is>
          <t>2026-10-29</t>
        </is>
      </c>
      <c r="J52" s="11" t="inlineStr">
        <is>
          <t>impresora.boquilla</t>
        </is>
      </c>
      <c r="K52" s="11" t="inlineStr"/>
    </row>
  </sheetData>
  <mergeCells count="8">
    <mergeCell ref="A15:I15"/>
    <mergeCell ref="A19:I19"/>
    <mergeCell ref="A47:I47"/>
    <mergeCell ref="A40:I40"/>
    <mergeCell ref="A8:I8"/>
    <mergeCell ref="A3:I3"/>
    <mergeCell ref="A30:I30"/>
    <mergeCell ref="A24:I24"/>
  </mergeCells>
  <dataValidations count="2">
    <dataValidation sqref="F3:F52" showDropDown="0" showInputMessage="0" showErrorMessage="1" allowBlank="1" errorTitle="origen" error="Usa: medido, fabricante o estimado" type="list">
      <formula1>"medido,fabricante,estimado"</formula1>
    </dataValidation>
    <dataValidation sqref="G3:G52" showDropDown="0" showInputMessage="0" showErrorMessage="1" allowBlank="1" errorTitle="estado" error="Usa: confirmado o por_verificar" type="list">
      <formula1>"confirmado,por_verificar"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2026-10-29T17:34:51Z</dcterms:created>
  <dcterms:modified xsi:type="dcterms:W3CDTF">2026-10-29T21:17:47Z</dcterms:modified>
</cp:coreProperties>
</file>